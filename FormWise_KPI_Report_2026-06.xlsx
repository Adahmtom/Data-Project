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Data" sheetId="2" state="visible" r:id="rId4"/>
    <sheet name="Monthly" sheetId="3" state="visible" r:id="rId5"/>
    <sheet name="Data Quality" sheetId="4" state="visible" r:id="rId6"/>
    <sheet name="Abou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<sst xmlns="http://schemas.openxmlformats.org/spreadsheetml/2006/main" count="1075" uniqueCount="79">
  <si>
    <t xml:space="preserve">FormWise Monthly KPI Report</t>
  </si>
  <si>
    <t xml:space="preserve">Made-up company, simulated data. Change the yellow cell to see another month.</t>
  </si>
  <si>
    <t xml:space="preserve">Report month</t>
  </si>
  <si>
    <t xml:space="preserve">2026-06</t>
  </si>
  <si>
    <t xml:space="preserve">pick a month from the list</t>
  </si>
  <si>
    <t xml:space="preserve">Row in Monthly</t>
  </si>
  <si>
    <t xml:space="preserve">KPI</t>
  </si>
  <si>
    <t xml:space="preserve">This month</t>
  </si>
  <si>
    <t xml:space="preserve">Prior month</t>
  </si>
  <si>
    <t xml:space="preserve">Change vs prior</t>
  </si>
  <si>
    <t xml:space="preserve">Same month last year</t>
  </si>
  <si>
    <t xml:space="preserve">Change vs last year</t>
  </si>
  <si>
    <t xml:space="preserve">Visitors</t>
  </si>
  <si>
    <t xml:space="preserve">Purchases (new subscriptions)</t>
  </si>
  <si>
    <t xml:space="preserve">Visit to purchase conversion</t>
  </si>
  <si>
    <t xml:space="preserve">New subscription revenue</t>
  </si>
  <si>
    <t xml:space="preserve">Renewal revenue</t>
  </si>
  <si>
    <t xml:space="preserve">Total revenue</t>
  </si>
  <si>
    <t xml:space="preserve">Active subscribers (end of month)</t>
  </si>
  <si>
    <t xml:space="preserve">Conversion by channel and device (selected month)</t>
  </si>
  <si>
    <t xml:space="preserve">Channel</t>
  </si>
  <si>
    <t xml:space="preserve">desktop conv.</t>
  </si>
  <si>
    <t xml:space="preserve">mobile conv.</t>
  </si>
  <si>
    <t xml:space="preserve">tablet conv.</t>
  </si>
  <si>
    <t xml:space="preserve">Purchases</t>
  </si>
  <si>
    <t xml:space="preserve">All devices conv.</t>
  </si>
  <si>
    <t xml:space="preserve">New revenue</t>
  </si>
  <si>
    <t xml:space="preserve">direct</t>
  </si>
  <si>
    <t xml:space="preserve">email</t>
  </si>
  <si>
    <t xml:space="preserve">organic_search</t>
  </si>
  <si>
    <t xml:space="preserve">paid_search</t>
  </si>
  <si>
    <t xml:space="preserve">referral</t>
  </si>
  <si>
    <t xml:space="preserve">social</t>
  </si>
  <si>
    <t xml:space="preserve">Total</t>
  </si>
  <si>
    <t xml:space="preserve">Check: total visitors match KPI table</t>
  </si>
  <si>
    <t xml:space="preserve">month</t>
  </si>
  <si>
    <t xml:space="preserve">channel</t>
  </si>
  <si>
    <t xml:space="preserve">device</t>
  </si>
  <si>
    <t xml:space="preserve">visitors</t>
  </si>
  <si>
    <t xml:space="preserve">purchases</t>
  </si>
  <si>
    <t xml:space="preserve">new_revenue</t>
  </si>
  <si>
    <t xml:space="preserve">2025-01</t>
  </si>
  <si>
    <t xml:space="preserve">desktop</t>
  </si>
  <si>
    <t xml:space="preserve">mobile</t>
  </si>
  <si>
    <t xml:space="preserve">tablet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</si>
  <si>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</si>
  <si>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</si>
  <si>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</si>
  <si>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</si>
  <si>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</si>
  <si>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</si>
  <si>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</si>
  <si>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</si>
  <si>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</si>
  <si>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</si>
  <si>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</si>
  <si>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</si>
  <si>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</si>
  <si>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</si>
  <si>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</si>
  <si>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</si>
  <si>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Month</t>
  </si>
  <si>
    <t xml:space="preserve">Conversion</t>
  </si>
  <si>
    <t xml:space="preserve">Renewals</t>
  </si>
  <si>
    <t xml:space="preserve">Renewal revenue, renewals and active subscribers are loaded from the billing system by build_report.py.</t>
  </si>
  <si>
    <t xml:space="preserve">Billed new subs</t>
  </si>
  <si>
    <t xml:space="preserve">Purchase events</t>
  </si>
  <si>
    <t xml:space="preserve">Missing user_id</t>
  </si>
  <si>
    <t xml:space="preserve">Duplicate events</t>
  </si>
  <si>
    <t xml:space="preserve">Event vs billing gap</t>
  </si>
  <si>
    <t xml:space="preserve">Status</t>
  </si>
  <si>
    <t xml:space="preserve">Gap tolerance</t>
  </si>
  <si>
    <t xml:space="preserve">Status is CHECK when any user_id is missing or the gap exceeds the tolerance.</t>
  </si>
  <si>
    <t xml:space="preserve">About this report</t>
  </si>
  <si>
    <t xml:space="preserve">Generated by build_report.py from the FormWise database (made-up company, simulated data).</t>
  </si>
  <si>
    <t xml:space="preserve">Purchases and revenue come from billing data, not front-end events, because the purchase event has known gaps.</t>
  </si>
  <si>
    <t xml:space="preserve">Visitors and purchases are grouped by the month of the visitor's first visit; renewal revenue by payment month.</t>
  </si>
  <si>
    <t xml:space="preserve">Every KPI is a formula. Change 'Report month' on the KPI Summary sheet to update all figures.</t>
  </si>
  <si>
    <t xml:space="preserve">Data Quality flags months where purchase tracking disagrees with billing beyond the tolerance.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</si>
</sst>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+0.0%;\-0.0%"/>
    <numFmt numFmtId="167" formatCode="0.00%"/>
    <numFmt numFmtId="168" formatCode="\+0.00&quot; pts&quot;;\-0.00&quot; pts&quot;"/>
    <numFmt numFmtId="169" formatCode="\$#,##0"/>
    <numFmt numFmtId="170" formatCode="0.0%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EF2F7"/>
        <bgColor rgb="FFFDEC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C62828"/>
      </font>
    </dxf>
    <dxf>
      <font>
        <name val="Arial"/>
        <charset val="1"/>
        <family val="0"/>
        <b val="1"/>
        <color rgb="FFC62828"/>
      </font>
      <fill>
        <patternFill>
          <bgColor rgb="FFFDEC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BBBBB"/>
      <rgbColor rgb="FF878787"/>
      <rgbColor rgb="FF9999FF"/>
      <rgbColor rgb="FFC0504D"/>
      <rgbColor rgb="FFFDECEA"/>
      <rgbColor rgb="FFEEF2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by channel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'KPI Summary'!G17</c:f>
              <c:strCache>
                <c:ptCount val="1"/>
                <c:pt idx="0">
                  <c:v>All devices conv.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'KPI Summary'!$A$18:$A$23</c:f>
              <c:strCache>
                <c:ptCount val="6"/>
                <c:pt idx="0">
                  <c:v>direct</c:v>
                </c:pt>
                <c:pt idx="1">
                  <c:v>email</c:v>
                </c:pt>
                <c:pt idx="2">
                  <c:v>organic_search</c:v>
                </c:pt>
                <c:pt idx="3">
                  <c:v>paid_search</c:v>
                </c:pt>
                <c:pt idx="4">
                  <c:v>referral</c:v>
                </c:pt>
                <c:pt idx="5">
                  <c:v>social</c:v>
                </c:pt>
              </c:strCache>
            </c:strRef>
          </c:cat>
          <c:val>
            <c:numRef>
              <c:f>'KPI Summary'!$G$18:$G$23</c:f>
              <c:numCache>
                <c:formatCode>0.0%</c:formatCode>
                <c:ptCount val="6"/>
                <c:pt idx="0">
                  <c:v>0.0514223194748359</c:v>
                </c:pt>
                <c:pt idx="1">
                  <c:v>0.0588235294117647</c:v>
                </c:pt>
                <c:pt idx="2">
                  <c:v>0.046471226927253</c:v>
                </c:pt>
                <c:pt idx="3">
                  <c:v>0.0581912527798369</c:v>
                </c:pt>
                <c:pt idx="4">
                  <c:v>0.0457413249211357</c:v>
                </c:pt>
                <c:pt idx="5">
                  <c:v>0.0326086956521739</c:v>
                </c:pt>
              </c:numCache>
            </c:numRef>
          </c:val>
        </c:ser>
        <c:gapWidth val="150"/>
        <c:overlap val="0"/>
        <c:axId val="10272874"/>
        <c:axId val="36985808"/>
      </c:barChart>
      <c:catAx>
        <c:axId val="1027287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85808"/>
        <c:crosses val="autoZero"/>
        <c:auto val="1"/>
        <c:lblAlgn val="ctr"/>
        <c:lblOffset val="100"/>
        <c:noMultiLvlLbl val="0"/>
      </c:catAx>
      <c:valAx>
        <c:axId val="369858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72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 to purchase conversion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Monthly!D1</c:f>
              <c:strCache>
                <c:ptCount val="1"/>
                <c:pt idx="0">
                  <c:v>Conversion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Monthly!$D$2:$D$19</c:f>
              <c:numCache>
                <c:formatCode>0.00%</c:formatCode>
                <c:ptCount val="18"/>
                <c:pt idx="0">
                  <c:v>0.048801906912558</c:v>
                </c:pt>
                <c:pt idx="1">
                  <c:v>0.0488888888888889</c:v>
                </c:pt>
                <c:pt idx="2">
                  <c:v>0.0452031738398654</c:v>
                </c:pt>
                <c:pt idx="3">
                  <c:v>0.0446075005823434</c:v>
                </c:pt>
                <c:pt idx="4">
                  <c:v>0.047565246864761</c:v>
                </c:pt>
                <c:pt idx="5">
                  <c:v>0.0441821247892074</c:v>
                </c:pt>
                <c:pt idx="6">
                  <c:v>0.04827156649019</c:v>
                </c:pt>
                <c:pt idx="7">
                  <c:v>0.0448908475965973</c:v>
                </c:pt>
                <c:pt idx="8">
                  <c:v>0.0479029813036887</c:v>
                </c:pt>
                <c:pt idx="9">
                  <c:v>0.0451435088386238</c:v>
                </c:pt>
                <c:pt idx="10">
                  <c:v>0.0444953215210034</c:v>
                </c:pt>
                <c:pt idx="11">
                  <c:v>0.0473126076316505</c:v>
                </c:pt>
                <c:pt idx="12">
                  <c:v>0.0513301196214962</c:v>
                </c:pt>
                <c:pt idx="13">
                  <c:v>0.0479891198756557</c:v>
                </c:pt>
                <c:pt idx="14">
                  <c:v>0.0467662536071974</c:v>
                </c:pt>
                <c:pt idx="15">
                  <c:v>0.0527260297385062</c:v>
                </c:pt>
                <c:pt idx="16">
                  <c:v>0.0505924867635936</c:v>
                </c:pt>
                <c:pt idx="17">
                  <c:v>0.0490606284354746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852452"/>
        <c:axId val="20656246"/>
      </c:lineChart>
      <c:catAx>
        <c:axId val="828524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56246"/>
        <c:crosses val="autoZero"/>
        <c:auto val="1"/>
        <c:lblAlgn val="ctr"/>
        <c:lblOffset val="100"/>
        <c:noMultiLvlLbl val="0"/>
      </c:catAx>
      <c:valAx>
        <c:axId val="20656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524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 (new + renewal)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Monthly!E1</c:f>
              <c:strCache>
                <c:ptCount val="1"/>
                <c:pt idx="0">
                  <c:v>New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Monthly!$E$2:$E$19</c:f>
              <c:numCache>
                <c:formatCode>\$#,##0</c:formatCode>
                <c:ptCount val="18"/>
                <c:pt idx="0">
                  <c:v>23883.72</c:v>
                </c:pt>
                <c:pt idx="1">
                  <c:v>23458.77</c:v>
                </c:pt>
                <c:pt idx="2">
                  <c:v>23810.97</c:v>
                </c:pt>
                <c:pt idx="3">
                  <c:v>23252.55</c:v>
                </c:pt>
                <c:pt idx="4">
                  <c:v>26113.53</c:v>
                </c:pt>
                <c:pt idx="5">
                  <c:v>23708.34</c:v>
                </c:pt>
                <c:pt idx="6">
                  <c:v>29438.01</c:v>
                </c:pt>
                <c:pt idx="7">
                  <c:v>26849.25</c:v>
                </c:pt>
                <c:pt idx="8">
                  <c:v>28736.01</c:v>
                </c:pt>
                <c:pt idx="9">
                  <c:v>29279.01</c:v>
                </c:pt>
                <c:pt idx="10">
                  <c:v>28271.07</c:v>
                </c:pt>
                <c:pt idx="11">
                  <c:v>32052.78</c:v>
                </c:pt>
                <c:pt idx="12">
                  <c:v>35513.61</c:v>
                </c:pt>
                <c:pt idx="13">
                  <c:v>28585.68</c:v>
                </c:pt>
                <c:pt idx="14">
                  <c:v>32653.59</c:v>
                </c:pt>
                <c:pt idx="15">
                  <c:v>38534.55</c:v>
                </c:pt>
                <c:pt idx="16">
                  <c:v>38270.04</c:v>
                </c:pt>
                <c:pt idx="17">
                  <c:v>36768.72</c:v>
                </c:pt>
              </c:numCache>
            </c:numRef>
          </c:val>
        </c:ser>
        <c:ser>
          <c:idx val="1"/>
          <c:order val="1"/>
          <c:tx>
            <c:strRef>
              <c:f>Monthly!F1</c:f>
              <c:strCache>
                <c:ptCount val="1"/>
                <c:pt idx="0">
                  <c:v>Renewal revenue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Monthly!$A$2:$A$19</c:f>
              <c:strCache>
                <c:ptCount val="1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</c:strCache>
            </c:strRef>
          </c:cat>
          <c:val>
            <c:numRef>
              <c:f>Monthly!$F$2:$F$19</c:f>
              <c:numCache>
                <c:formatCode>\$#,##0</c:formatCode>
                <c:ptCount val="18"/>
                <c:pt idx="0">
                  <c:v>0</c:v>
                </c:pt>
                <c:pt idx="1">
                  <c:v>6118.47</c:v>
                </c:pt>
                <c:pt idx="2">
                  <c:v>10677.33</c:v>
                </c:pt>
                <c:pt idx="3">
                  <c:v>14836.29</c:v>
                </c:pt>
                <c:pt idx="4">
                  <c:v>18955.26</c:v>
                </c:pt>
                <c:pt idx="5">
                  <c:v>22274.43</c:v>
                </c:pt>
                <c:pt idx="6">
                  <c:v>25113.72</c:v>
                </c:pt>
                <c:pt idx="7">
                  <c:v>29752.56</c:v>
                </c:pt>
                <c:pt idx="8">
                  <c:v>33471.63</c:v>
                </c:pt>
                <c:pt idx="9">
                  <c:v>38150.46</c:v>
                </c:pt>
                <c:pt idx="10">
                  <c:v>41949.51</c:v>
                </c:pt>
                <c:pt idx="11">
                  <c:v>44108.97</c:v>
                </c:pt>
                <c:pt idx="12">
                  <c:v>56673.57</c:v>
                </c:pt>
                <c:pt idx="13">
                  <c:v>60833.01</c:v>
                </c:pt>
                <c:pt idx="14">
                  <c:v>66421.98</c:v>
                </c:pt>
                <c:pt idx="15">
                  <c:v>67472.31</c:v>
                </c:pt>
                <c:pt idx="16">
                  <c:v>73037.19</c:v>
                </c:pt>
                <c:pt idx="17">
                  <c:v>74750.01</c:v>
                </c:pt>
              </c:numCache>
            </c:numRef>
          </c:val>
        </c:ser>
        <c:gapWidth val="150"/>
        <c:overlap val="100"/>
        <c:axId val="74910885"/>
        <c:axId val="22775565"/>
      </c:barChart>
      <c:catAx>
        <c:axId val="74910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75565"/>
        <c:crosses val="autoZero"/>
        <c:auto val="1"/>
        <c:lblAlgn val="ctr"/>
        <c:lblOffset val="100"/>
        <c:noMultiLvlLbl val="0"/>
      </c:catAx>
      <c:valAx>
        <c:axId val="22775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10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20160</xdr:rowOff>
    </xdr:from>
    <xdr:to>
      <xdr:col>3</xdr:col>
      <xdr:colOff>528480</xdr:colOff>
      <xdr:row>38</xdr:row>
      <xdr:rowOff>52920</xdr:rowOff>
    </xdr:to>
    <xdr:graphicFrame>
      <xdr:nvGraphicFramePr>
        <xdr:cNvPr id="0" name="Chart 1"/>
        <xdr:cNvGraphicFramePr/>
      </xdr:nvGraphicFramePr>
      <xdr:xfrm>
        <a:off x="0" y="4952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190440</xdr:rowOff>
    </xdr:from>
    <xdr:to>
      <xdr:col>20</xdr:col>
      <xdr:colOff>4680</xdr:colOff>
      <xdr:row>13</xdr:row>
      <xdr:rowOff>101880</xdr:rowOff>
    </xdr:to>
    <xdr:graphicFrame>
      <xdr:nvGraphicFramePr>
        <xdr:cNvPr id="1" name="Chart 1"/>
        <xdr:cNvGraphicFramePr/>
      </xdr:nvGraphicFramePr>
      <xdr:xfrm>
        <a:off x="8717400" y="190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69120</xdr:rowOff>
    </xdr:from>
    <xdr:to>
      <xdr:col>20</xdr:col>
      <xdr:colOff>4680</xdr:colOff>
      <xdr:row>29</xdr:row>
      <xdr:rowOff>101880</xdr:rowOff>
    </xdr:to>
    <xdr:graphicFrame>
      <xdr:nvGraphicFramePr>
        <xdr:cNvPr id="2" name="Chart 2"/>
        <xdr:cNvGraphicFramePr/>
      </xdr:nvGraphicFramePr>
      <xdr:xfrm>
        <a:off x="8717400" y="32385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4" t="s">
        <v>2</v>
      </c>
      <c r="B4" s="5" t="s">
        <v>3</v>
      </c>
      <c r="C4" s="6" t="s">
        <v>4</v>
      </c>
      <c r="D4" s="2"/>
      <c r="E4" s="2"/>
      <c r="F4" s="2"/>
      <c r="G4" s="2"/>
      <c r="H4" s="2"/>
    </row>
    <row r="5" customFormat="false" ht="15" hidden="false" customHeight="false" outlineLevel="0" collapsed="false">
      <c r="A5" s="7" t="s">
        <v>5</v>
      </c>
      <c r="B5" s="7" t="n">
        <f aca="false">MATCH($B$4,Monthly!$A$2:$A$19,0)</f>
        <v>18</v>
      </c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26.85" hidden="false" customHeight="false" outlineLevel="0" collapsed="false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2"/>
      <c r="H7" s="2"/>
    </row>
    <row r="8" customFormat="false" ht="15" hidden="false" customHeight="false" outlineLevel="0" collapsed="false">
      <c r="A8" s="9" t="s">
        <v>12</v>
      </c>
      <c r="B8" s="10" t="n">
        <f aca="false">INDEX(Monthly!$B$2:$B$19,$B$5)</f>
        <v>12189</v>
      </c>
      <c r="C8" s="10" t="n">
        <f aca="false">IF($B$5&gt;1,INDEX(Monthly!$B$2:$B$19,$B$5-1),"n/a")</f>
        <v>11899</v>
      </c>
      <c r="D8" s="11" t="n">
        <f aca="false">IF(ISNUMBER(C8),IFERROR(B8/C8-1,0),"n/a")</f>
        <v>0.0243717959492393</v>
      </c>
      <c r="E8" s="10" t="n">
        <f aca="false">IF($B$5&gt;12,INDEX(Monthly!$B$2:$B$19,$B$5-12),"n/a")</f>
        <v>8895</v>
      </c>
      <c r="F8" s="11" t="n">
        <f aca="false">IF(ISNUMBER(E8),IFERROR(B8/E8-1,0),"n/a")</f>
        <v>0.370320404721754</v>
      </c>
      <c r="G8" s="2"/>
      <c r="H8" s="2"/>
    </row>
    <row r="9" customFormat="false" ht="15" hidden="false" customHeight="false" outlineLevel="0" collapsed="false">
      <c r="A9" s="9" t="s">
        <v>13</v>
      </c>
      <c r="B9" s="10" t="n">
        <f aca="false">INDEX(Monthly!$C$2:$C$19,$B$5)</f>
        <v>598</v>
      </c>
      <c r="C9" s="10" t="n">
        <f aca="false">IF($B$5&gt;1,INDEX(Monthly!$C$2:$C$19,$B$5-1),"n/a")</f>
        <v>602</v>
      </c>
      <c r="D9" s="11" t="n">
        <f aca="false">IF(ISNUMBER(C9),IFERROR(B9/C9-1,0),"n/a")</f>
        <v>-0.00664451827242529</v>
      </c>
      <c r="E9" s="10" t="n">
        <f aca="false">IF($B$5&gt;12,INDEX(Monthly!$C$2:$C$19,$B$5-12),"n/a")</f>
        <v>393</v>
      </c>
      <c r="F9" s="11" t="n">
        <f aca="false">IF(ISNUMBER(E9),IFERROR(B9/E9-1,0),"n/a")</f>
        <v>0.521628498727735</v>
      </c>
      <c r="G9" s="2"/>
      <c r="H9" s="2"/>
    </row>
    <row r="10" customFormat="false" ht="15" hidden="false" customHeight="false" outlineLevel="0" collapsed="false">
      <c r="A10" s="9" t="s">
        <v>14</v>
      </c>
      <c r="B10" s="12" t="n">
        <f aca="false">INDEX(Monthly!$D$2:$D$19,$B$5)</f>
        <v>0.0490606284354746</v>
      </c>
      <c r="C10" s="12" t="n">
        <f aca="false">IF($B$5&gt;1,INDEX(Monthly!$D$2:$D$19,$B$5-1),"n/a")</f>
        <v>0.0505924867635936</v>
      </c>
      <c r="D10" s="13" t="n">
        <f aca="false">IF(ISNUMBER(C10),(B10-C10)*100,"n/a")</f>
        <v>-0.153185832811897</v>
      </c>
      <c r="E10" s="12" t="n">
        <f aca="false">IF($B$5&gt;12,INDEX(Monthly!$D$2:$D$19,$B$5-12),"n/a")</f>
        <v>0.0441821247892074</v>
      </c>
      <c r="F10" s="13" t="n">
        <f aca="false">IF(ISNUMBER(E10),(B10-E10)*100,"n/a")</f>
        <v>0.487850364626719</v>
      </c>
      <c r="G10" s="2"/>
      <c r="H10" s="2"/>
    </row>
    <row r="11" customFormat="false" ht="15" hidden="false" customHeight="false" outlineLevel="0" collapsed="false">
      <c r="A11" s="9" t="s">
        <v>15</v>
      </c>
      <c r="B11" s="14" t="n">
        <f aca="false">INDEX(Monthly!$E$2:$E$19,$B$5)</f>
        <v>36768.72</v>
      </c>
      <c r="C11" s="14" t="n">
        <f aca="false">IF($B$5&gt;1,INDEX(Monthly!$E$2:$E$19,$B$5-1),"n/a")</f>
        <v>38270.04</v>
      </c>
      <c r="D11" s="11" t="n">
        <f aca="false">IF(ISNUMBER(C11),IFERROR(B11/C11-1,0),"n/a")</f>
        <v>-0.0392296428224271</v>
      </c>
      <c r="E11" s="14" t="n">
        <f aca="false">IF($B$5&gt;12,INDEX(Monthly!$E$2:$E$19,$B$5-12),"n/a")</f>
        <v>23708.34</v>
      </c>
      <c r="F11" s="11" t="n">
        <f aca="false">IF(ISNUMBER(E11),IFERROR(B11/E11-1,0),"n/a")</f>
        <v>0.550877033145298</v>
      </c>
      <c r="G11" s="2"/>
      <c r="H11" s="2"/>
    </row>
    <row r="12" customFormat="false" ht="15" hidden="false" customHeight="false" outlineLevel="0" collapsed="false">
      <c r="A12" s="9" t="s">
        <v>16</v>
      </c>
      <c r="B12" s="14" t="n">
        <f aca="false">INDEX(Monthly!$F$2:$F$19,$B$5)</f>
        <v>74750.01</v>
      </c>
      <c r="C12" s="14" t="n">
        <f aca="false">IF($B$5&gt;1,INDEX(Monthly!$F$2:$F$19,$B$5-1),"n/a")</f>
        <v>73037.19</v>
      </c>
      <c r="D12" s="11" t="n">
        <f aca="false">IF(ISNUMBER(C12),IFERROR(B12/C12-1,0),"n/a")</f>
        <v>0.0234513403377103</v>
      </c>
      <c r="E12" s="14" t="n">
        <f aca="false">IF($B$5&gt;12,INDEX(Monthly!$F$2:$F$19,$B$5-12),"n/a")</f>
        <v>22274.43</v>
      </c>
      <c r="F12" s="11" t="n">
        <f aca="false">IF(ISNUMBER(E12),IFERROR(B12/E12-1,0),"n/a")</f>
        <v>2.35586634540143</v>
      </c>
      <c r="G12" s="2"/>
      <c r="H12" s="2"/>
    </row>
    <row r="13" customFormat="false" ht="15" hidden="false" customHeight="false" outlineLevel="0" collapsed="false">
      <c r="A13" s="9" t="s">
        <v>17</v>
      </c>
      <c r="B13" s="14" t="n">
        <f aca="false">INDEX(Monthly!$G$2:$G$19,$B$5)</f>
        <v>111518.73</v>
      </c>
      <c r="C13" s="14" t="n">
        <f aca="false">IF($B$5&gt;1,INDEX(Monthly!$G$2:$G$19,$B$5-1),"n/a")</f>
        <v>111307.23</v>
      </c>
      <c r="D13" s="11" t="n">
        <f aca="false">IF(ISNUMBER(C13),IFERROR(B13/C13-1,0),"n/a")</f>
        <v>0.00190014610910727</v>
      </c>
      <c r="E13" s="14" t="n">
        <f aca="false">IF($B$5&gt;12,INDEX(Monthly!$G$2:$G$19,$B$5-12),"n/a")</f>
        <v>45982.77</v>
      </c>
      <c r="F13" s="11" t="n">
        <f aca="false">IF(ISNUMBER(E13),IFERROR(B13/E13-1,0),"n/a")</f>
        <v>1.42522862367796</v>
      </c>
      <c r="G13" s="2"/>
      <c r="H13" s="2"/>
    </row>
    <row r="14" customFormat="false" ht="15" hidden="false" customHeight="false" outlineLevel="0" collapsed="false">
      <c r="A14" s="9" t="s">
        <v>18</v>
      </c>
      <c r="B14" s="10" t="n">
        <f aca="false">INDEX(Monthly!$I$2:$I$19,$B$5)</f>
        <v>4966</v>
      </c>
      <c r="C14" s="10" t="n">
        <f aca="false">IF($B$5&gt;1,INDEX(Monthly!$I$2:$I$19,$B$5-1),"n/a")</f>
        <v>4709</v>
      </c>
      <c r="D14" s="11" t="n">
        <f aca="false">IF(ISNUMBER(C14),IFERROR(B14/C14-1,0),"n/a")</f>
        <v>0.054576343172648</v>
      </c>
      <c r="E14" s="10" t="n">
        <f aca="false">IF($B$5&gt;12,INDEX(Monthly!$I$2:$I$19,$B$5-12),"n/a")</f>
        <v>1723</v>
      </c>
      <c r="F14" s="11" t="n">
        <f aca="false">IF(ISNUMBER(E14),IFERROR(B14/E14-1,0),"n/a")</f>
        <v>1.88218224027858</v>
      </c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15" t="s">
        <v>19</v>
      </c>
      <c r="B16" s="2"/>
      <c r="C16" s="2"/>
      <c r="D16" s="2"/>
      <c r="E16" s="2"/>
      <c r="F16" s="2"/>
      <c r="G16" s="2"/>
      <c r="H16" s="2"/>
    </row>
    <row r="17" customFormat="false" ht="26.85" hidden="false" customHeight="false" outlineLevel="0" collapsed="false">
      <c r="A17" s="8" t="s">
        <v>20</v>
      </c>
      <c r="B17" s="8" t="s">
        <v>21</v>
      </c>
      <c r="C17" s="8" t="s">
        <v>22</v>
      </c>
      <c r="D17" s="8" t="s">
        <v>23</v>
      </c>
      <c r="E17" s="8" t="s">
        <v>12</v>
      </c>
      <c r="F17" s="8" t="s">
        <v>24</v>
      </c>
      <c r="G17" s="8" t="s">
        <v>25</v>
      </c>
      <c r="H17" s="8" t="s">
        <v>26</v>
      </c>
    </row>
    <row r="18" customFormat="false" ht="15" hidden="false" customHeight="false" outlineLevel="0" collapsed="false">
      <c r="A18" s="2" t="s">
        <v>27</v>
      </c>
      <c r="B18" s="16" t="n">
        <f aca="false">IFERROR(SUMIFS(Data!$E$2:$E$325,Data!$A$2:$A$325,$B$4,Data!$B$2:$B$325,$A18,Data!$C$2:$C$325,"desktop")/SUMIFS(Data!$D$2:$D$325,Data!$A$2:$A$325,$B$4,Data!$B$2:$B$325,$A18,Data!$C$2:$C$325,"desktop"),0)</f>
        <v>0.0756756756756757</v>
      </c>
      <c r="C18" s="16" t="n">
        <f aca="false">IFERROR(SUMIFS(Data!$E$2:$E$325,Data!$A$2:$A$325,$B$4,Data!$B$2:$B$325,$A18,Data!$C$2:$C$325,"mobile")/SUMIFS(Data!$D$2:$D$325,Data!$A$2:$A$325,$B$4,Data!$B$2:$B$325,$A18,Data!$C$2:$C$325,"mobile"),0)</f>
        <v>0.0214190093708166</v>
      </c>
      <c r="D18" s="16" t="n">
        <f aca="false">IFERROR(SUMIFS(Data!$E$2:$E$325,Data!$A$2:$A$325,$B$4,Data!$B$2:$B$325,$A18,Data!$C$2:$C$325,"tablet")/SUMIFS(Data!$D$2:$D$325,Data!$A$2:$A$325,$B$4,Data!$B$2:$B$325,$A18,Data!$C$2:$C$325,"tablet"),0)</f>
        <v>0.0512820512820513</v>
      </c>
      <c r="E18" s="17" t="n">
        <f aca="false">SUMIFS(Data!$D$2:$D$325,Data!$A$2:$A$325,$B$4,Data!$B$2:$B$325,$A18)</f>
        <v>1828</v>
      </c>
      <c r="F18" s="17" t="n">
        <f aca="false">SUMIFS(Data!$E$2:$E$325,Data!$A$2:$A$325,$B$4,Data!$B$2:$B$325,$A18)</f>
        <v>94</v>
      </c>
      <c r="G18" s="16" t="n">
        <f aca="false">IFERROR(F18/E18,0)</f>
        <v>0.0514223194748359</v>
      </c>
      <c r="H18" s="18" t="n">
        <f aca="false">SUMIFS(Data!$F$2:$F$325,Data!$A$2:$A$325,$B$4,Data!$B$2:$B$325,$A18)</f>
        <v>6162.33</v>
      </c>
    </row>
    <row r="19" customFormat="false" ht="15" hidden="false" customHeight="false" outlineLevel="0" collapsed="false">
      <c r="A19" s="2" t="s">
        <v>28</v>
      </c>
      <c r="B19" s="16" t="n">
        <f aca="false">IFERROR(SUMIFS(Data!$E$2:$E$325,Data!$A$2:$A$325,$B$4,Data!$B$2:$B$325,$A19,Data!$C$2:$C$325,"desktop")/SUMIFS(Data!$D$2:$D$325,Data!$A$2:$A$325,$B$4,Data!$B$2:$B$325,$A19,Data!$C$2:$C$325,"desktop"),0)</f>
        <v>0.081799591002045</v>
      </c>
      <c r="C19" s="16" t="n">
        <f aca="false">IFERROR(SUMIFS(Data!$E$2:$E$325,Data!$A$2:$A$325,$B$4,Data!$B$2:$B$325,$A19,Data!$C$2:$C$325,"mobile")/SUMIFS(Data!$D$2:$D$325,Data!$A$2:$A$325,$B$4,Data!$B$2:$B$325,$A19,Data!$C$2:$C$325,"mobile"),0)</f>
        <v>0.0256410256410256</v>
      </c>
      <c r="D19" s="16" t="n">
        <f aca="false">IFERROR(SUMIFS(Data!$E$2:$E$325,Data!$A$2:$A$325,$B$4,Data!$B$2:$B$325,$A19,Data!$C$2:$C$325,"tablet")/SUMIFS(Data!$D$2:$D$325,Data!$A$2:$A$325,$B$4,Data!$B$2:$B$325,$A19,Data!$C$2:$C$325,"tablet"),0)</f>
        <v>0.0821917808219178</v>
      </c>
      <c r="E19" s="17" t="n">
        <f aca="false">SUMIFS(Data!$D$2:$D$325,Data!$A$2:$A$325,$B$4,Data!$B$2:$B$325,$A19)</f>
        <v>952</v>
      </c>
      <c r="F19" s="17" t="n">
        <f aca="false">SUMIFS(Data!$E$2:$E$325,Data!$A$2:$A$325,$B$4,Data!$B$2:$B$325,$A19)</f>
        <v>56</v>
      </c>
      <c r="G19" s="16" t="n">
        <f aca="false">IFERROR(F19/E19,0)</f>
        <v>0.0588235294117647</v>
      </c>
      <c r="H19" s="18" t="n">
        <f aca="false">SUMIFS(Data!$F$2:$F$325,Data!$A$2:$A$325,$B$4,Data!$B$2:$B$325,$A19)</f>
        <v>3413.13</v>
      </c>
    </row>
    <row r="20" customFormat="false" ht="15" hidden="false" customHeight="false" outlineLevel="0" collapsed="false">
      <c r="A20" s="2" t="s">
        <v>29</v>
      </c>
      <c r="B20" s="16" t="n">
        <f aca="false">IFERROR(SUMIFS(Data!$E$2:$E$325,Data!$A$2:$A$325,$B$4,Data!$B$2:$B$325,$A20,Data!$C$2:$C$325,"desktop")/SUMIFS(Data!$D$2:$D$325,Data!$A$2:$A$325,$B$4,Data!$B$2:$B$325,$A20,Data!$C$2:$C$325,"desktop"),0)</f>
        <v>0.0633484162895928</v>
      </c>
      <c r="C20" s="16" t="n">
        <f aca="false">IFERROR(SUMIFS(Data!$E$2:$E$325,Data!$A$2:$A$325,$B$4,Data!$B$2:$B$325,$A20,Data!$C$2:$C$325,"mobile")/SUMIFS(Data!$D$2:$D$325,Data!$A$2:$A$325,$B$4,Data!$B$2:$B$325,$A20,Data!$C$2:$C$325,"mobile"),0)</f>
        <v>0.0259319286871961</v>
      </c>
      <c r="D20" s="16" t="n">
        <f aca="false">IFERROR(SUMIFS(Data!$E$2:$E$325,Data!$A$2:$A$325,$B$4,Data!$B$2:$B$325,$A20,Data!$C$2:$C$325,"tablet")/SUMIFS(Data!$D$2:$D$325,Data!$A$2:$A$325,$B$4,Data!$B$2:$B$325,$A20,Data!$C$2:$C$325,"tablet"),0)</f>
        <v>0.0371517027863777</v>
      </c>
      <c r="E20" s="17" t="n">
        <f aca="false">SUMIFS(Data!$D$2:$D$325,Data!$A$2:$A$325,$B$4,Data!$B$2:$B$325,$A20)</f>
        <v>4605</v>
      </c>
      <c r="F20" s="17" t="n">
        <f aca="false">SUMIFS(Data!$E$2:$E$325,Data!$A$2:$A$325,$B$4,Data!$B$2:$B$325,$A20)</f>
        <v>214</v>
      </c>
      <c r="G20" s="16" t="n">
        <f aca="false">IFERROR(F20/E20,0)</f>
        <v>0.046471226927253</v>
      </c>
      <c r="H20" s="18" t="n">
        <f aca="false">SUMIFS(Data!$F$2:$F$325,Data!$A$2:$A$325,$B$4,Data!$B$2:$B$325,$A20)</f>
        <v>12693.72</v>
      </c>
    </row>
    <row r="21" customFormat="false" ht="15" hidden="false" customHeight="false" outlineLevel="0" collapsed="false">
      <c r="A21" s="2" t="s">
        <v>30</v>
      </c>
      <c r="B21" s="16" t="n">
        <f aca="false">IFERROR(SUMIFS(Data!$E$2:$E$325,Data!$A$2:$A$325,$B$4,Data!$B$2:$B$325,$A21,Data!$C$2:$C$325,"desktop")/SUMIFS(Data!$D$2:$D$325,Data!$A$2:$A$325,$B$4,Data!$B$2:$B$325,$A21,Data!$C$2:$C$325,"desktop"),0)</f>
        <v>0.0771881461061337</v>
      </c>
      <c r="C21" s="16" t="n">
        <f aca="false">IFERROR(SUMIFS(Data!$E$2:$E$325,Data!$A$2:$A$325,$B$4,Data!$B$2:$B$325,$A21,Data!$C$2:$C$325,"mobile")/SUMIFS(Data!$D$2:$D$325,Data!$A$2:$A$325,$B$4,Data!$B$2:$B$325,$A21,Data!$C$2:$C$325,"mobile"),0)</f>
        <v>0.0293847566574839</v>
      </c>
      <c r="D21" s="16" t="n">
        <f aca="false">IFERROR(SUMIFS(Data!$E$2:$E$325,Data!$A$2:$A$325,$B$4,Data!$B$2:$B$325,$A21,Data!$C$2:$C$325,"tablet")/SUMIFS(Data!$D$2:$D$325,Data!$A$2:$A$325,$B$4,Data!$B$2:$B$325,$A21,Data!$C$2:$C$325,"tablet"),0)</f>
        <v>0.0822784810126582</v>
      </c>
      <c r="E21" s="17" t="n">
        <f aca="false">SUMIFS(Data!$D$2:$D$325,Data!$A$2:$A$325,$B$4,Data!$B$2:$B$325,$A21)</f>
        <v>2698</v>
      </c>
      <c r="F21" s="17" t="n">
        <f aca="false">SUMIFS(Data!$E$2:$E$325,Data!$A$2:$A$325,$B$4,Data!$B$2:$B$325,$A21)</f>
        <v>157</v>
      </c>
      <c r="G21" s="16" t="n">
        <f aca="false">IFERROR(F21/E21,0)</f>
        <v>0.0581912527798369</v>
      </c>
      <c r="H21" s="18" t="n">
        <f aca="false">SUMIFS(Data!$F$2:$F$325,Data!$A$2:$A$325,$B$4,Data!$B$2:$B$325,$A21)</f>
        <v>9687.72</v>
      </c>
    </row>
    <row r="22" customFormat="false" ht="15" hidden="false" customHeight="false" outlineLevel="0" collapsed="false">
      <c r="A22" s="2" t="s">
        <v>31</v>
      </c>
      <c r="B22" s="16" t="n">
        <f aca="false">IFERROR(SUMIFS(Data!$E$2:$E$325,Data!$A$2:$A$325,$B$4,Data!$B$2:$B$325,$A22,Data!$C$2:$C$325,"desktop")/SUMIFS(Data!$D$2:$D$325,Data!$A$2:$A$325,$B$4,Data!$B$2:$B$325,$A22,Data!$C$2:$C$325,"desktop"),0)</f>
        <v>0.0562130177514793</v>
      </c>
      <c r="C22" s="16" t="n">
        <f aca="false">IFERROR(SUMIFS(Data!$E$2:$E$325,Data!$A$2:$A$325,$B$4,Data!$B$2:$B$325,$A22,Data!$C$2:$C$325,"mobile")/SUMIFS(Data!$D$2:$D$325,Data!$A$2:$A$325,$B$4,Data!$B$2:$B$325,$A22,Data!$C$2:$C$325,"mobile"),0)</f>
        <v>0.02734375</v>
      </c>
      <c r="D22" s="16" t="n">
        <f aca="false">IFERROR(SUMIFS(Data!$E$2:$E$325,Data!$A$2:$A$325,$B$4,Data!$B$2:$B$325,$A22,Data!$C$2:$C$325,"tablet")/SUMIFS(Data!$D$2:$D$325,Data!$A$2:$A$325,$B$4,Data!$B$2:$B$325,$A22,Data!$C$2:$C$325,"tablet"),0)</f>
        <v>0.075</v>
      </c>
      <c r="E22" s="17" t="n">
        <f aca="false">SUMIFS(Data!$D$2:$D$325,Data!$A$2:$A$325,$B$4,Data!$B$2:$B$325,$A22)</f>
        <v>634</v>
      </c>
      <c r="F22" s="17" t="n">
        <f aca="false">SUMIFS(Data!$E$2:$E$325,Data!$A$2:$A$325,$B$4,Data!$B$2:$B$325,$A22)</f>
        <v>29</v>
      </c>
      <c r="G22" s="16" t="n">
        <f aca="false">IFERROR(F22/E22,0)</f>
        <v>0.0457413249211357</v>
      </c>
      <c r="H22" s="18" t="n">
        <f aca="false">SUMIFS(Data!$F$2:$F$325,Data!$A$2:$A$325,$B$4,Data!$B$2:$B$325,$A22)</f>
        <v>1774.5</v>
      </c>
    </row>
    <row r="23" customFormat="false" ht="15" hidden="false" customHeight="false" outlineLevel="0" collapsed="false">
      <c r="A23" s="2" t="s">
        <v>32</v>
      </c>
      <c r="B23" s="16" t="n">
        <f aca="false">IFERROR(SUMIFS(Data!$E$2:$E$325,Data!$A$2:$A$325,$B$4,Data!$B$2:$B$325,$A23,Data!$C$2:$C$325,"desktop")/SUMIFS(Data!$D$2:$D$325,Data!$A$2:$A$325,$B$4,Data!$B$2:$B$325,$A23,Data!$C$2:$C$325,"desktop"),0)</f>
        <v>0.0500676589986468</v>
      </c>
      <c r="C23" s="16" t="n">
        <f aca="false">IFERROR(SUMIFS(Data!$E$2:$E$325,Data!$A$2:$A$325,$B$4,Data!$B$2:$B$325,$A23,Data!$C$2:$C$325,"mobile")/SUMIFS(Data!$D$2:$D$325,Data!$A$2:$A$325,$B$4,Data!$B$2:$B$325,$A23,Data!$C$2:$C$325,"mobile"),0)</f>
        <v>0.0144</v>
      </c>
      <c r="D23" s="16" t="n">
        <f aca="false">IFERROR(SUMIFS(Data!$E$2:$E$325,Data!$A$2:$A$325,$B$4,Data!$B$2:$B$325,$A23,Data!$C$2:$C$325,"tablet")/SUMIFS(Data!$D$2:$D$325,Data!$A$2:$A$325,$B$4,Data!$B$2:$B$325,$A23,Data!$C$2:$C$325,"tablet"),0)</f>
        <v>0.0185185185185185</v>
      </c>
      <c r="E23" s="17" t="n">
        <f aca="false">SUMIFS(Data!$D$2:$D$325,Data!$A$2:$A$325,$B$4,Data!$B$2:$B$325,$A23)</f>
        <v>1472</v>
      </c>
      <c r="F23" s="17" t="n">
        <f aca="false">SUMIFS(Data!$E$2:$E$325,Data!$A$2:$A$325,$B$4,Data!$B$2:$B$325,$A23)</f>
        <v>48</v>
      </c>
      <c r="G23" s="16" t="n">
        <f aca="false">IFERROR(F23/E23,0)</f>
        <v>0.0326086956521739</v>
      </c>
      <c r="H23" s="18" t="n">
        <f aca="false">SUMIFS(Data!$F$2:$F$325,Data!$A$2:$A$325,$B$4,Data!$B$2:$B$325,$A23)</f>
        <v>3037.32</v>
      </c>
    </row>
    <row r="24" customFormat="false" ht="15" hidden="false" customHeight="false" outlineLevel="0" collapsed="false">
      <c r="A24" s="4" t="s">
        <v>33</v>
      </c>
      <c r="B24" s="2"/>
      <c r="C24" s="2"/>
      <c r="D24" s="2"/>
      <c r="E24" s="19" t="n">
        <f aca="false">SUM(E18:E23)</f>
        <v>12189</v>
      </c>
      <c r="F24" s="19" t="n">
        <f aca="false">SUM(F18:F23)</f>
        <v>598</v>
      </c>
      <c r="G24" s="20" t="n">
        <f aca="false">IFERROR(F24/E24,0)</f>
        <v>0.0490606284354746</v>
      </c>
      <c r="H24" s="21" t="n">
        <f aca="false">SUM(H18:H23)</f>
        <v>36768.72</v>
      </c>
    </row>
    <row r="25" customFormat="false" ht="15" hidden="false" customHeight="false" outlineLevel="0" collapsed="false">
      <c r="A25" s="3" t="s">
        <v>34</v>
      </c>
      <c r="B25" s="2"/>
      <c r="C25" s="2"/>
      <c r="D25" s="2"/>
      <c r="E25" s="3" t="str">
        <f aca="false">IF(E24=B8,"OK","MISMATCH")</f>
        <v>OK</v>
      </c>
      <c r="F25" s="2"/>
      <c r="G25" s="2"/>
      <c r="H25" s="2"/>
    </row>
  </sheetData>
  <conditionalFormatting sqref="D8:D14">
    <cfRule type="expression" priority="2" aboveAverage="0" equalAverage="0" bottom="0" percent="0" rank="0" text="" dxfId="0">
      <formula>AND(ISNUMBER(D8),D8&gt;0)</formula>
    </cfRule>
    <cfRule type="expression" priority="3" aboveAverage="0" equalAverage="0" bottom="0" percent="0" rank="0" text="" dxfId="1">
      <formula>AND(ISNUMBER(D8),D8&lt;0)</formula>
    </cfRule>
  </conditionalFormatting>
  <conditionalFormatting sqref="F8:F14">
    <cfRule type="expression" priority="4" aboveAverage="0" equalAverage="0" bottom="0" percent="0" rank="0" text="" dxfId="0">
      <formula>AND(ISNUMBER(F8),F8&gt;0)</formula>
    </cfRule>
    <cfRule type="expression" priority="5" aboveAverage="0" equalAverage="0" bottom="0" percent="0" rank="0" text="" dxfId="1">
      <formula>AND(ISNUMBER(F8),F8&lt;0)</formula>
    </cfRule>
  </conditionalFormatting>
  <dataValidations count="1">
    <dataValidation allowBlank="false" errorStyle="stop" operator="between" showDropDown="false" showErrorMessage="false" showInputMessage="false" sqref="B4" type="list">
      <formula1>Monthly!$A$2:$A$19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3"/>
  </cols>
  <sheetData>
    <row r="1" customFormat="false" ht="26.85" hidden="false" customHeight="false" outlineLevel="0" collapsed="false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</row>
    <row r="2" customFormat="false" ht="15" hidden="false" customHeight="false" outlineLevel="0" collapsed="false">
      <c r="A2" s="2" t="s">
        <v>41</v>
      </c>
      <c r="B2" s="2" t="s">
        <v>27</v>
      </c>
      <c r="C2" s="2" t="s">
        <v>42</v>
      </c>
      <c r="D2" s="2" t="n">
        <v>579</v>
      </c>
      <c r="E2" s="2" t="n">
        <v>29</v>
      </c>
      <c r="F2" s="18" t="n">
        <v>1495.05</v>
      </c>
    </row>
    <row r="3" customFormat="false" ht="15" hidden="false" customHeight="false" outlineLevel="0" collapsed="false">
      <c r="A3" s="2" t="s">
        <v>41</v>
      </c>
      <c r="B3" s="2" t="s">
        <v>27</v>
      </c>
      <c r="C3" s="2" t="s">
        <v>43</v>
      </c>
      <c r="D3" s="2" t="n">
        <v>510</v>
      </c>
      <c r="E3" s="2" t="n">
        <v>16</v>
      </c>
      <c r="F3" s="18" t="n">
        <v>1198.74</v>
      </c>
    </row>
    <row r="4" customFormat="false" ht="15" hidden="false" customHeight="false" outlineLevel="0" collapsed="false">
      <c r="A4" s="2" t="s">
        <v>41</v>
      </c>
      <c r="B4" s="2" t="s">
        <v>27</v>
      </c>
      <c r="C4" s="2" t="s">
        <v>44</v>
      </c>
      <c r="D4" s="2" t="n">
        <v>75</v>
      </c>
      <c r="E4" s="2" t="n">
        <v>2</v>
      </c>
      <c r="F4" s="18" t="n">
        <v>79.98</v>
      </c>
    </row>
    <row r="5" customFormat="false" ht="15" hidden="false" customHeight="false" outlineLevel="0" collapsed="false">
      <c r="A5" s="2" t="s">
        <v>41</v>
      </c>
      <c r="B5" s="2" t="s">
        <v>28</v>
      </c>
      <c r="C5" s="2" t="s">
        <v>42</v>
      </c>
      <c r="D5" s="2" t="n">
        <v>327</v>
      </c>
      <c r="E5" s="2" t="n">
        <v>21</v>
      </c>
      <c r="F5" s="18" t="n">
        <v>1510.47</v>
      </c>
    </row>
    <row r="6" customFormat="false" ht="15" hidden="false" customHeight="false" outlineLevel="0" collapsed="false">
      <c r="A6" s="2" t="s">
        <v>41</v>
      </c>
      <c r="B6" s="2" t="s">
        <v>28</v>
      </c>
      <c r="C6" s="2" t="s">
        <v>43</v>
      </c>
      <c r="D6" s="2" t="n">
        <v>251</v>
      </c>
      <c r="E6" s="2" t="n">
        <v>7</v>
      </c>
      <c r="F6" s="18" t="n">
        <v>391.71</v>
      </c>
    </row>
    <row r="7" customFormat="false" ht="15" hidden="false" customHeight="false" outlineLevel="0" collapsed="false">
      <c r="A7" s="2" t="s">
        <v>41</v>
      </c>
      <c r="B7" s="2" t="s">
        <v>28</v>
      </c>
      <c r="C7" s="2" t="s">
        <v>44</v>
      </c>
      <c r="D7" s="2" t="n">
        <v>42</v>
      </c>
      <c r="E7" s="2" t="n">
        <v>4</v>
      </c>
      <c r="F7" s="18" t="n">
        <v>271.74</v>
      </c>
    </row>
    <row r="8" customFormat="false" ht="15" hidden="false" customHeight="false" outlineLevel="0" collapsed="false">
      <c r="A8" s="2" t="s">
        <v>41</v>
      </c>
      <c r="B8" s="2" t="s">
        <v>29</v>
      </c>
      <c r="C8" s="2" t="s">
        <v>42</v>
      </c>
      <c r="D8" s="2" t="n">
        <v>1555</v>
      </c>
      <c r="E8" s="2" t="n">
        <v>107</v>
      </c>
      <c r="F8" s="18" t="n">
        <v>7017.54</v>
      </c>
    </row>
    <row r="9" customFormat="false" ht="15" hidden="false" customHeight="false" outlineLevel="0" collapsed="false">
      <c r="A9" s="2" t="s">
        <v>41</v>
      </c>
      <c r="B9" s="2" t="s">
        <v>29</v>
      </c>
      <c r="C9" s="2" t="s">
        <v>43</v>
      </c>
      <c r="D9" s="2" t="n">
        <v>1232</v>
      </c>
      <c r="E9" s="2" t="n">
        <v>35</v>
      </c>
      <c r="F9" s="18" t="n">
        <v>1846.77</v>
      </c>
    </row>
    <row r="10" customFormat="false" ht="15" hidden="false" customHeight="false" outlineLevel="0" collapsed="false">
      <c r="A10" s="2" t="s">
        <v>41</v>
      </c>
      <c r="B10" s="2" t="s">
        <v>29</v>
      </c>
      <c r="C10" s="2" t="s">
        <v>44</v>
      </c>
      <c r="D10" s="2" t="n">
        <v>226</v>
      </c>
      <c r="E10" s="2" t="n">
        <v>6</v>
      </c>
      <c r="F10" s="18" t="n">
        <v>351.72</v>
      </c>
    </row>
    <row r="11" customFormat="false" ht="15" hidden="false" customHeight="false" outlineLevel="0" collapsed="false">
      <c r="A11" s="2" t="s">
        <v>41</v>
      </c>
      <c r="B11" s="2" t="s">
        <v>30</v>
      </c>
      <c r="C11" s="2" t="s">
        <v>42</v>
      </c>
      <c r="D11" s="2" t="n">
        <v>937</v>
      </c>
      <c r="E11" s="2" t="n">
        <v>82</v>
      </c>
      <c r="F11" s="18" t="n">
        <v>5011.77</v>
      </c>
    </row>
    <row r="12" customFormat="false" ht="15" hidden="false" customHeight="false" outlineLevel="0" collapsed="false">
      <c r="A12" s="2" t="s">
        <v>41</v>
      </c>
      <c r="B12" s="2" t="s">
        <v>30</v>
      </c>
      <c r="C12" s="2" t="s">
        <v>43</v>
      </c>
      <c r="D12" s="2" t="n">
        <v>695</v>
      </c>
      <c r="E12" s="2" t="n">
        <v>23</v>
      </c>
      <c r="F12" s="18" t="n">
        <v>1255.11</v>
      </c>
    </row>
    <row r="13" customFormat="false" ht="15" hidden="false" customHeight="false" outlineLevel="0" collapsed="false">
      <c r="A13" s="2" t="s">
        <v>41</v>
      </c>
      <c r="B13" s="2" t="s">
        <v>30</v>
      </c>
      <c r="C13" s="2" t="s">
        <v>44</v>
      </c>
      <c r="D13" s="2" t="n">
        <v>134</v>
      </c>
      <c r="E13" s="2" t="n">
        <v>7</v>
      </c>
      <c r="F13" s="18" t="n">
        <v>447.6</v>
      </c>
    </row>
    <row r="14" customFormat="false" ht="15" hidden="false" customHeight="false" outlineLevel="0" collapsed="false">
      <c r="A14" s="2" t="s">
        <v>41</v>
      </c>
      <c r="B14" s="2" t="s">
        <v>31</v>
      </c>
      <c r="C14" s="2" t="s">
        <v>42</v>
      </c>
      <c r="D14" s="2" t="n">
        <v>210</v>
      </c>
      <c r="E14" s="2" t="n">
        <v>10</v>
      </c>
      <c r="F14" s="18" t="n">
        <v>735.24</v>
      </c>
    </row>
    <row r="15" customFormat="false" ht="15" hidden="false" customHeight="false" outlineLevel="0" collapsed="false">
      <c r="A15" s="2" t="s">
        <v>41</v>
      </c>
      <c r="B15" s="2" t="s">
        <v>31</v>
      </c>
      <c r="C15" s="2" t="s">
        <v>43</v>
      </c>
      <c r="D15" s="2" t="n">
        <v>179</v>
      </c>
      <c r="E15" s="2" t="n">
        <v>6</v>
      </c>
      <c r="F15" s="18" t="n">
        <v>239.94</v>
      </c>
    </row>
    <row r="16" customFormat="false" ht="15" hidden="false" customHeight="false" outlineLevel="0" collapsed="false">
      <c r="A16" s="2" t="s">
        <v>41</v>
      </c>
      <c r="B16" s="2" t="s">
        <v>31</v>
      </c>
      <c r="C16" s="2" t="s">
        <v>44</v>
      </c>
      <c r="D16" s="2" t="n">
        <v>39</v>
      </c>
      <c r="E16" s="2" t="n">
        <v>1</v>
      </c>
      <c r="F16" s="18" t="n">
        <v>95.88</v>
      </c>
    </row>
    <row r="17" customFormat="false" ht="15" hidden="false" customHeight="false" outlineLevel="0" collapsed="false">
      <c r="A17" s="2" t="s">
        <v>41</v>
      </c>
      <c r="B17" s="2" t="s">
        <v>32</v>
      </c>
      <c r="C17" s="2" t="s">
        <v>42</v>
      </c>
      <c r="D17" s="2" t="n">
        <v>498</v>
      </c>
      <c r="E17" s="2" t="n">
        <v>21</v>
      </c>
      <c r="F17" s="18" t="n">
        <v>1119.24</v>
      </c>
    </row>
    <row r="18" customFormat="false" ht="15" hidden="false" customHeight="false" outlineLevel="0" collapsed="false">
      <c r="A18" s="2" t="s">
        <v>41</v>
      </c>
      <c r="B18" s="2" t="s">
        <v>32</v>
      </c>
      <c r="C18" s="2" t="s">
        <v>43</v>
      </c>
      <c r="D18" s="2" t="n">
        <v>408</v>
      </c>
      <c r="E18" s="2" t="n">
        <v>8</v>
      </c>
      <c r="F18" s="18" t="n">
        <v>543.48</v>
      </c>
    </row>
    <row r="19" customFormat="false" ht="15" hidden="false" customHeight="false" outlineLevel="0" collapsed="false">
      <c r="A19" s="2" t="s">
        <v>41</v>
      </c>
      <c r="B19" s="2" t="s">
        <v>32</v>
      </c>
      <c r="C19" s="2" t="s">
        <v>44</v>
      </c>
      <c r="D19" s="2" t="n">
        <v>74</v>
      </c>
      <c r="E19" s="2" t="n">
        <v>4</v>
      </c>
      <c r="F19" s="18" t="n">
        <v>271.74</v>
      </c>
    </row>
    <row r="20" customFormat="false" ht="15" hidden="false" customHeight="false" outlineLevel="0" collapsed="false">
      <c r="A20" s="2" t="s">
        <v>45</v>
      </c>
      <c r="B20" s="2" t="s">
        <v>27</v>
      </c>
      <c r="C20" s="2" t="s">
        <v>42</v>
      </c>
      <c r="D20" s="2" t="n">
        <v>598</v>
      </c>
      <c r="E20" s="2" t="n">
        <v>35</v>
      </c>
      <c r="F20" s="18" t="n">
        <v>2293.89</v>
      </c>
    </row>
    <row r="21" customFormat="false" ht="15" hidden="false" customHeight="false" outlineLevel="0" collapsed="false">
      <c r="A21" s="2" t="s">
        <v>45</v>
      </c>
      <c r="B21" s="2" t="s">
        <v>27</v>
      </c>
      <c r="C21" s="2" t="s">
        <v>43</v>
      </c>
      <c r="D21" s="2" t="n">
        <v>477</v>
      </c>
      <c r="E21" s="2" t="n">
        <v>15</v>
      </c>
      <c r="F21" s="18" t="n">
        <v>767.52</v>
      </c>
    </row>
    <row r="22" customFormat="false" ht="15" hidden="false" customHeight="false" outlineLevel="0" collapsed="false">
      <c r="A22" s="2" t="s">
        <v>45</v>
      </c>
      <c r="B22" s="2" t="s">
        <v>27</v>
      </c>
      <c r="C22" s="2" t="s">
        <v>44</v>
      </c>
      <c r="D22" s="2" t="n">
        <v>82</v>
      </c>
      <c r="E22" s="2" t="n">
        <v>2</v>
      </c>
      <c r="F22" s="18" t="n">
        <v>135.87</v>
      </c>
    </row>
    <row r="23" customFormat="false" ht="15" hidden="false" customHeight="false" outlineLevel="0" collapsed="false">
      <c r="A23" s="2" t="s">
        <v>45</v>
      </c>
      <c r="B23" s="2" t="s">
        <v>28</v>
      </c>
      <c r="C23" s="2" t="s">
        <v>42</v>
      </c>
      <c r="D23" s="2" t="n">
        <v>281</v>
      </c>
      <c r="E23" s="2" t="n">
        <v>25</v>
      </c>
      <c r="F23" s="18" t="n">
        <v>1614.54</v>
      </c>
    </row>
    <row r="24" customFormat="false" ht="15" hidden="false" customHeight="false" outlineLevel="0" collapsed="false">
      <c r="A24" s="2" t="s">
        <v>45</v>
      </c>
      <c r="B24" s="2" t="s">
        <v>28</v>
      </c>
      <c r="C24" s="2" t="s">
        <v>43</v>
      </c>
      <c r="D24" s="2" t="n">
        <v>242</v>
      </c>
      <c r="E24" s="2" t="n">
        <v>5</v>
      </c>
      <c r="F24" s="18" t="n">
        <v>255.84</v>
      </c>
    </row>
    <row r="25" customFormat="false" ht="15" hidden="false" customHeight="false" outlineLevel="0" collapsed="false">
      <c r="A25" s="2" t="s">
        <v>45</v>
      </c>
      <c r="B25" s="2" t="s">
        <v>28</v>
      </c>
      <c r="C25" s="2" t="s">
        <v>44</v>
      </c>
      <c r="D25" s="2" t="n">
        <v>39</v>
      </c>
      <c r="E25" s="2" t="n">
        <v>4</v>
      </c>
      <c r="F25" s="18" t="n">
        <v>159.96</v>
      </c>
    </row>
    <row r="26" customFormat="false" ht="15" hidden="false" customHeight="false" outlineLevel="0" collapsed="false">
      <c r="A26" s="2" t="s">
        <v>45</v>
      </c>
      <c r="B26" s="2" t="s">
        <v>29</v>
      </c>
      <c r="C26" s="2" t="s">
        <v>42</v>
      </c>
      <c r="D26" s="2" t="n">
        <v>1460</v>
      </c>
      <c r="E26" s="2" t="n">
        <v>99</v>
      </c>
      <c r="F26" s="18" t="n">
        <v>6809.4</v>
      </c>
    </row>
    <row r="27" customFormat="false" ht="15" hidden="false" customHeight="false" outlineLevel="0" collapsed="false">
      <c r="A27" s="2" t="s">
        <v>45</v>
      </c>
      <c r="B27" s="2" t="s">
        <v>29</v>
      </c>
      <c r="C27" s="2" t="s">
        <v>43</v>
      </c>
      <c r="D27" s="2" t="n">
        <v>1147</v>
      </c>
      <c r="E27" s="2" t="n">
        <v>26</v>
      </c>
      <c r="F27" s="18" t="n">
        <v>1598.64</v>
      </c>
    </row>
    <row r="28" customFormat="false" ht="15" hidden="false" customHeight="false" outlineLevel="0" collapsed="false">
      <c r="A28" s="2" t="s">
        <v>45</v>
      </c>
      <c r="B28" s="2" t="s">
        <v>29</v>
      </c>
      <c r="C28" s="2" t="s">
        <v>44</v>
      </c>
      <c r="D28" s="2" t="n">
        <v>208</v>
      </c>
      <c r="E28" s="2" t="n">
        <v>17</v>
      </c>
      <c r="F28" s="18" t="n">
        <v>1015.17</v>
      </c>
    </row>
    <row r="29" customFormat="false" ht="15" hidden="false" customHeight="false" outlineLevel="0" collapsed="false">
      <c r="A29" s="2" t="s">
        <v>45</v>
      </c>
      <c r="B29" s="2" t="s">
        <v>30</v>
      </c>
      <c r="C29" s="2" t="s">
        <v>42</v>
      </c>
      <c r="D29" s="2" t="n">
        <v>872</v>
      </c>
      <c r="E29" s="2" t="n">
        <v>64</v>
      </c>
      <c r="F29" s="18" t="n">
        <v>4124.28</v>
      </c>
    </row>
    <row r="30" customFormat="false" ht="15" hidden="false" customHeight="false" outlineLevel="0" collapsed="false">
      <c r="A30" s="2" t="s">
        <v>45</v>
      </c>
      <c r="B30" s="2" t="s">
        <v>30</v>
      </c>
      <c r="C30" s="2" t="s">
        <v>43</v>
      </c>
      <c r="D30" s="2" t="n">
        <v>620</v>
      </c>
      <c r="E30" s="2" t="n">
        <v>22</v>
      </c>
      <c r="F30" s="18" t="n">
        <v>1382.79</v>
      </c>
    </row>
    <row r="31" customFormat="false" ht="15" hidden="false" customHeight="false" outlineLevel="0" collapsed="false">
      <c r="A31" s="2" t="s">
        <v>45</v>
      </c>
      <c r="B31" s="2" t="s">
        <v>30</v>
      </c>
      <c r="C31" s="2" t="s">
        <v>44</v>
      </c>
      <c r="D31" s="2" t="n">
        <v>118</v>
      </c>
      <c r="E31" s="2" t="n">
        <v>6</v>
      </c>
      <c r="F31" s="18" t="n">
        <v>407.61</v>
      </c>
    </row>
    <row r="32" customFormat="false" ht="15" hidden="false" customHeight="false" outlineLevel="0" collapsed="false">
      <c r="A32" s="2" t="s">
        <v>45</v>
      </c>
      <c r="B32" s="2" t="s">
        <v>31</v>
      </c>
      <c r="C32" s="2" t="s">
        <v>42</v>
      </c>
      <c r="D32" s="2" t="n">
        <v>181</v>
      </c>
      <c r="E32" s="2" t="n">
        <v>8</v>
      </c>
      <c r="F32" s="18" t="n">
        <v>543.48</v>
      </c>
    </row>
    <row r="33" customFormat="false" ht="15" hidden="false" customHeight="false" outlineLevel="0" collapsed="false">
      <c r="A33" s="2" t="s">
        <v>45</v>
      </c>
      <c r="B33" s="2" t="s">
        <v>31</v>
      </c>
      <c r="C33" s="2" t="s">
        <v>43</v>
      </c>
      <c r="D33" s="2" t="n">
        <v>160</v>
      </c>
      <c r="E33" s="2" t="n">
        <v>3</v>
      </c>
      <c r="F33" s="18" t="n">
        <v>119.97</v>
      </c>
    </row>
    <row r="34" customFormat="false" ht="15" hidden="false" customHeight="false" outlineLevel="0" collapsed="false">
      <c r="A34" s="2" t="s">
        <v>45</v>
      </c>
      <c r="B34" s="2" t="s">
        <v>31</v>
      </c>
      <c r="C34" s="2" t="s">
        <v>44</v>
      </c>
      <c r="D34" s="2" t="n">
        <v>23</v>
      </c>
      <c r="E34" s="2" t="n">
        <v>4</v>
      </c>
      <c r="F34" s="18" t="n">
        <v>327.63</v>
      </c>
    </row>
    <row r="35" customFormat="false" ht="15" hidden="false" customHeight="false" outlineLevel="0" collapsed="false">
      <c r="A35" s="2" t="s">
        <v>45</v>
      </c>
      <c r="B35" s="2" t="s">
        <v>32</v>
      </c>
      <c r="C35" s="2" t="s">
        <v>42</v>
      </c>
      <c r="D35" s="2" t="n">
        <v>469</v>
      </c>
      <c r="E35" s="2" t="n">
        <v>22</v>
      </c>
      <c r="F35" s="18" t="n">
        <v>1494.57</v>
      </c>
    </row>
    <row r="36" customFormat="false" ht="15" hidden="false" customHeight="false" outlineLevel="0" collapsed="false">
      <c r="A36" s="2" t="s">
        <v>45</v>
      </c>
      <c r="B36" s="2" t="s">
        <v>32</v>
      </c>
      <c r="C36" s="2" t="s">
        <v>43</v>
      </c>
      <c r="D36" s="2" t="n">
        <v>385</v>
      </c>
      <c r="E36" s="2" t="n">
        <v>4</v>
      </c>
      <c r="F36" s="18" t="n">
        <v>215.85</v>
      </c>
    </row>
    <row r="37" customFormat="false" ht="15" hidden="false" customHeight="false" outlineLevel="0" collapsed="false">
      <c r="A37" s="2" t="s">
        <v>45</v>
      </c>
      <c r="B37" s="2" t="s">
        <v>32</v>
      </c>
      <c r="C37" s="2" t="s">
        <v>44</v>
      </c>
      <c r="D37" s="2" t="n">
        <v>63</v>
      </c>
      <c r="E37" s="2" t="n">
        <v>2</v>
      </c>
      <c r="F37" s="18" t="n">
        <v>191.76</v>
      </c>
    </row>
    <row r="38" customFormat="false" ht="15" hidden="false" customHeight="false" outlineLevel="0" collapsed="false">
      <c r="A38" s="2" t="s">
        <v>46</v>
      </c>
      <c r="B38" s="2" t="s">
        <v>27</v>
      </c>
      <c r="C38" s="2" t="s">
        <v>42</v>
      </c>
      <c r="D38" s="2" t="n">
        <v>671</v>
      </c>
      <c r="E38" s="2" t="n">
        <v>39</v>
      </c>
      <c r="F38" s="18" t="n">
        <v>2565.63</v>
      </c>
    </row>
    <row r="39" customFormat="false" ht="15" hidden="false" customHeight="false" outlineLevel="0" collapsed="false">
      <c r="A39" s="2" t="s">
        <v>46</v>
      </c>
      <c r="B39" s="2" t="s">
        <v>27</v>
      </c>
      <c r="C39" s="2" t="s">
        <v>43</v>
      </c>
      <c r="D39" s="2" t="n">
        <v>532</v>
      </c>
      <c r="E39" s="2" t="n">
        <v>10</v>
      </c>
      <c r="F39" s="18" t="n">
        <v>567.57</v>
      </c>
    </row>
    <row r="40" customFormat="false" ht="15" hidden="false" customHeight="false" outlineLevel="0" collapsed="false">
      <c r="A40" s="2" t="s">
        <v>46</v>
      </c>
      <c r="B40" s="2" t="s">
        <v>27</v>
      </c>
      <c r="C40" s="2" t="s">
        <v>44</v>
      </c>
      <c r="D40" s="2" t="n">
        <v>87</v>
      </c>
      <c r="E40" s="2" t="n">
        <v>3</v>
      </c>
      <c r="F40" s="18" t="n">
        <v>119.97</v>
      </c>
    </row>
    <row r="41" customFormat="false" ht="15" hidden="false" customHeight="false" outlineLevel="0" collapsed="false">
      <c r="A41" s="2" t="s">
        <v>46</v>
      </c>
      <c r="B41" s="2" t="s">
        <v>28</v>
      </c>
      <c r="C41" s="2" t="s">
        <v>42</v>
      </c>
      <c r="D41" s="2" t="n">
        <v>343</v>
      </c>
      <c r="E41" s="2" t="n">
        <v>21</v>
      </c>
      <c r="F41" s="18" t="n">
        <v>1342.8</v>
      </c>
    </row>
    <row r="42" customFormat="false" ht="15" hidden="false" customHeight="false" outlineLevel="0" collapsed="false">
      <c r="A42" s="2" t="s">
        <v>46</v>
      </c>
      <c r="B42" s="2" t="s">
        <v>28</v>
      </c>
      <c r="C42" s="2" t="s">
        <v>43</v>
      </c>
      <c r="D42" s="2" t="n">
        <v>241</v>
      </c>
      <c r="E42" s="2" t="n">
        <v>2</v>
      </c>
      <c r="F42" s="18" t="n">
        <v>135.87</v>
      </c>
    </row>
    <row r="43" customFormat="false" ht="15" hidden="false" customHeight="false" outlineLevel="0" collapsed="false">
      <c r="A43" s="2" t="s">
        <v>46</v>
      </c>
      <c r="B43" s="2" t="s">
        <v>28</v>
      </c>
      <c r="C43" s="2" t="s">
        <v>44</v>
      </c>
      <c r="D43" s="2" t="n">
        <v>61</v>
      </c>
      <c r="E43" s="2" t="n">
        <v>5</v>
      </c>
      <c r="F43" s="18" t="n">
        <v>311.73</v>
      </c>
    </row>
    <row r="44" customFormat="false" ht="15" hidden="false" customHeight="false" outlineLevel="0" collapsed="false">
      <c r="A44" s="2" t="s">
        <v>46</v>
      </c>
      <c r="B44" s="2" t="s">
        <v>29</v>
      </c>
      <c r="C44" s="2" t="s">
        <v>42</v>
      </c>
      <c r="D44" s="2" t="n">
        <v>1646</v>
      </c>
      <c r="E44" s="2" t="n">
        <v>104</v>
      </c>
      <c r="F44" s="18" t="n">
        <v>7177.02</v>
      </c>
    </row>
    <row r="45" customFormat="false" ht="15" hidden="false" customHeight="false" outlineLevel="0" collapsed="false">
      <c r="A45" s="2" t="s">
        <v>46</v>
      </c>
      <c r="B45" s="2" t="s">
        <v>29</v>
      </c>
      <c r="C45" s="2" t="s">
        <v>43</v>
      </c>
      <c r="D45" s="2" t="n">
        <v>1305</v>
      </c>
      <c r="E45" s="2" t="n">
        <v>24</v>
      </c>
      <c r="F45" s="18" t="n">
        <v>1295.1</v>
      </c>
    </row>
    <row r="46" customFormat="false" ht="15" hidden="false" customHeight="false" outlineLevel="0" collapsed="false">
      <c r="A46" s="2" t="s">
        <v>46</v>
      </c>
      <c r="B46" s="2" t="s">
        <v>29</v>
      </c>
      <c r="C46" s="2" t="s">
        <v>44</v>
      </c>
      <c r="D46" s="2" t="n">
        <v>231</v>
      </c>
      <c r="E46" s="2" t="n">
        <v>10</v>
      </c>
      <c r="F46" s="18" t="n">
        <v>679.35</v>
      </c>
    </row>
    <row r="47" customFormat="false" ht="15" hidden="false" customHeight="false" outlineLevel="0" collapsed="false">
      <c r="A47" s="2" t="s">
        <v>46</v>
      </c>
      <c r="B47" s="2" t="s">
        <v>30</v>
      </c>
      <c r="C47" s="2" t="s">
        <v>42</v>
      </c>
      <c r="D47" s="2" t="n">
        <v>888</v>
      </c>
      <c r="E47" s="2" t="n">
        <v>69</v>
      </c>
      <c r="F47" s="18" t="n">
        <v>4380.12</v>
      </c>
    </row>
    <row r="48" customFormat="false" ht="15" hidden="false" customHeight="false" outlineLevel="0" collapsed="false">
      <c r="A48" s="2" t="s">
        <v>46</v>
      </c>
      <c r="B48" s="2" t="s">
        <v>30</v>
      </c>
      <c r="C48" s="2" t="s">
        <v>43</v>
      </c>
      <c r="D48" s="2" t="n">
        <v>757</v>
      </c>
      <c r="E48" s="2" t="n">
        <v>24</v>
      </c>
      <c r="F48" s="18" t="n">
        <v>1295.1</v>
      </c>
    </row>
    <row r="49" customFormat="false" ht="15" hidden="false" customHeight="false" outlineLevel="0" collapsed="false">
      <c r="A49" s="2" t="s">
        <v>46</v>
      </c>
      <c r="B49" s="2" t="s">
        <v>30</v>
      </c>
      <c r="C49" s="2" t="s">
        <v>44</v>
      </c>
      <c r="D49" s="2" t="n">
        <v>146</v>
      </c>
      <c r="E49" s="2" t="n">
        <v>9</v>
      </c>
      <c r="F49" s="18" t="n">
        <v>583.47</v>
      </c>
    </row>
    <row r="50" customFormat="false" ht="15" hidden="false" customHeight="false" outlineLevel="0" collapsed="false">
      <c r="A50" s="2" t="s">
        <v>46</v>
      </c>
      <c r="B50" s="2" t="s">
        <v>31</v>
      </c>
      <c r="C50" s="2" t="s">
        <v>42</v>
      </c>
      <c r="D50" s="2" t="n">
        <v>219</v>
      </c>
      <c r="E50" s="2" t="n">
        <v>16</v>
      </c>
      <c r="F50" s="18" t="n">
        <v>1031.07</v>
      </c>
    </row>
    <row r="51" customFormat="false" ht="15" hidden="false" customHeight="false" outlineLevel="0" collapsed="false">
      <c r="A51" s="2" t="s">
        <v>46</v>
      </c>
      <c r="B51" s="2" t="s">
        <v>31</v>
      </c>
      <c r="C51" s="2" t="s">
        <v>43</v>
      </c>
      <c r="D51" s="2" t="n">
        <v>181</v>
      </c>
      <c r="E51" s="2" t="n">
        <v>4</v>
      </c>
      <c r="F51" s="18" t="n">
        <v>271.74</v>
      </c>
    </row>
    <row r="52" customFormat="false" ht="15" hidden="false" customHeight="false" outlineLevel="0" collapsed="false">
      <c r="A52" s="2" t="s">
        <v>46</v>
      </c>
      <c r="B52" s="2" t="s">
        <v>31</v>
      </c>
      <c r="C52" s="2" t="s">
        <v>44</v>
      </c>
      <c r="D52" s="2" t="n">
        <v>19</v>
      </c>
      <c r="E52" s="2" t="n">
        <v>2</v>
      </c>
      <c r="F52" s="18" t="n">
        <v>135.87</v>
      </c>
    </row>
    <row r="53" customFormat="false" ht="15" hidden="false" customHeight="false" outlineLevel="0" collapsed="false">
      <c r="A53" s="2" t="s">
        <v>46</v>
      </c>
      <c r="B53" s="2" t="s">
        <v>32</v>
      </c>
      <c r="C53" s="2" t="s">
        <v>42</v>
      </c>
      <c r="D53" s="2" t="n">
        <v>524</v>
      </c>
      <c r="E53" s="2" t="n">
        <v>27</v>
      </c>
      <c r="F53" s="18" t="n">
        <v>1470.96</v>
      </c>
    </row>
    <row r="54" customFormat="false" ht="15" hidden="false" customHeight="false" outlineLevel="0" collapsed="false">
      <c r="A54" s="2" t="s">
        <v>46</v>
      </c>
      <c r="B54" s="2" t="s">
        <v>32</v>
      </c>
      <c r="C54" s="2" t="s">
        <v>43</v>
      </c>
      <c r="D54" s="2" t="n">
        <v>391</v>
      </c>
      <c r="E54" s="2" t="n">
        <v>5</v>
      </c>
      <c r="F54" s="18" t="n">
        <v>311.73</v>
      </c>
    </row>
    <row r="55" customFormat="false" ht="15" hidden="false" customHeight="false" outlineLevel="0" collapsed="false">
      <c r="A55" s="2" t="s">
        <v>46</v>
      </c>
      <c r="B55" s="2" t="s">
        <v>32</v>
      </c>
      <c r="C55" s="2" t="s">
        <v>44</v>
      </c>
      <c r="D55" s="2" t="n">
        <v>76</v>
      </c>
      <c r="E55" s="2" t="n">
        <v>2</v>
      </c>
      <c r="F55" s="18" t="n">
        <v>135.87</v>
      </c>
    </row>
    <row r="56" customFormat="false" ht="15" hidden="false" customHeight="false" outlineLevel="0" collapsed="false">
      <c r="A56" s="2" t="s">
        <v>47</v>
      </c>
      <c r="B56" s="2" t="s">
        <v>27</v>
      </c>
      <c r="C56" s="2" t="s">
        <v>42</v>
      </c>
      <c r="D56" s="2" t="n">
        <v>709</v>
      </c>
      <c r="E56" s="2" t="n">
        <v>46</v>
      </c>
      <c r="F56" s="18" t="n">
        <v>3180.9</v>
      </c>
    </row>
    <row r="57" customFormat="false" ht="15" hidden="false" customHeight="false" outlineLevel="0" collapsed="false">
      <c r="A57" s="2" t="s">
        <v>47</v>
      </c>
      <c r="B57" s="2" t="s">
        <v>27</v>
      </c>
      <c r="C57" s="2" t="s">
        <v>43</v>
      </c>
      <c r="D57" s="2" t="n">
        <v>515</v>
      </c>
      <c r="E57" s="2" t="n">
        <v>8</v>
      </c>
      <c r="F57" s="18" t="n">
        <v>319.92</v>
      </c>
    </row>
    <row r="58" customFormat="false" ht="15" hidden="false" customHeight="false" outlineLevel="0" collapsed="false">
      <c r="A58" s="2" t="s">
        <v>47</v>
      </c>
      <c r="B58" s="2" t="s">
        <v>27</v>
      </c>
      <c r="C58" s="2" t="s">
        <v>44</v>
      </c>
      <c r="D58" s="2" t="n">
        <v>94</v>
      </c>
      <c r="E58" s="2" t="n">
        <v>6</v>
      </c>
      <c r="F58" s="18" t="n">
        <v>295.83</v>
      </c>
    </row>
    <row r="59" customFormat="false" ht="15" hidden="false" customHeight="false" outlineLevel="0" collapsed="false">
      <c r="A59" s="2" t="s">
        <v>47</v>
      </c>
      <c r="B59" s="2" t="s">
        <v>28</v>
      </c>
      <c r="C59" s="2" t="s">
        <v>42</v>
      </c>
      <c r="D59" s="2" t="n">
        <v>390</v>
      </c>
      <c r="E59" s="2" t="n">
        <v>41</v>
      </c>
      <c r="F59" s="18" t="n">
        <v>2477.94</v>
      </c>
    </row>
    <row r="60" customFormat="false" ht="15" hidden="false" customHeight="false" outlineLevel="0" collapsed="false">
      <c r="A60" s="2" t="s">
        <v>47</v>
      </c>
      <c r="B60" s="2" t="s">
        <v>28</v>
      </c>
      <c r="C60" s="2" t="s">
        <v>43</v>
      </c>
      <c r="D60" s="2" t="n">
        <v>271</v>
      </c>
      <c r="E60" s="2" t="n">
        <v>6</v>
      </c>
      <c r="F60" s="18" t="n">
        <v>239.94</v>
      </c>
    </row>
    <row r="61" customFormat="false" ht="15" hidden="false" customHeight="false" outlineLevel="0" collapsed="false">
      <c r="A61" s="2" t="s">
        <v>47</v>
      </c>
      <c r="B61" s="2" t="s">
        <v>28</v>
      </c>
      <c r="C61" s="2" t="s">
        <v>44</v>
      </c>
      <c r="D61" s="2" t="n">
        <v>43</v>
      </c>
      <c r="E61" s="2" t="n">
        <v>0</v>
      </c>
      <c r="F61" s="18" t="n">
        <v>0</v>
      </c>
    </row>
    <row r="62" customFormat="false" ht="15" hidden="false" customHeight="false" outlineLevel="0" collapsed="false">
      <c r="A62" s="2" t="s">
        <v>47</v>
      </c>
      <c r="B62" s="2" t="s">
        <v>29</v>
      </c>
      <c r="C62" s="2" t="s">
        <v>42</v>
      </c>
      <c r="D62" s="2" t="n">
        <v>1669</v>
      </c>
      <c r="E62" s="2" t="n">
        <v>105</v>
      </c>
      <c r="F62" s="18" t="n">
        <v>6546.33</v>
      </c>
    </row>
    <row r="63" customFormat="false" ht="15" hidden="false" customHeight="false" outlineLevel="0" collapsed="false">
      <c r="A63" s="2" t="s">
        <v>47</v>
      </c>
      <c r="B63" s="2" t="s">
        <v>29</v>
      </c>
      <c r="C63" s="2" t="s">
        <v>43</v>
      </c>
      <c r="D63" s="2" t="n">
        <v>1363</v>
      </c>
      <c r="E63" s="2" t="n">
        <v>39</v>
      </c>
      <c r="F63" s="18" t="n">
        <v>2397.96</v>
      </c>
    </row>
    <row r="64" customFormat="false" ht="15" hidden="false" customHeight="false" outlineLevel="0" collapsed="false">
      <c r="A64" s="2" t="s">
        <v>47</v>
      </c>
      <c r="B64" s="2" t="s">
        <v>29</v>
      </c>
      <c r="C64" s="2" t="s">
        <v>44</v>
      </c>
      <c r="D64" s="2" t="n">
        <v>229</v>
      </c>
      <c r="E64" s="2" t="n">
        <v>9</v>
      </c>
      <c r="F64" s="18" t="n">
        <v>471.69</v>
      </c>
    </row>
    <row r="65" customFormat="false" ht="15" hidden="false" customHeight="false" outlineLevel="0" collapsed="false">
      <c r="A65" s="2" t="s">
        <v>47</v>
      </c>
      <c r="B65" s="2" t="s">
        <v>30</v>
      </c>
      <c r="C65" s="2" t="s">
        <v>42</v>
      </c>
      <c r="D65" s="2" t="n">
        <v>1003</v>
      </c>
      <c r="E65" s="2" t="n">
        <v>76</v>
      </c>
      <c r="F65" s="18" t="n">
        <v>4715.94</v>
      </c>
    </row>
    <row r="66" customFormat="false" ht="15" hidden="false" customHeight="false" outlineLevel="0" collapsed="false">
      <c r="A66" s="2" t="s">
        <v>47</v>
      </c>
      <c r="B66" s="2" t="s">
        <v>30</v>
      </c>
      <c r="C66" s="2" t="s">
        <v>43</v>
      </c>
      <c r="D66" s="2" t="n">
        <v>780</v>
      </c>
      <c r="E66" s="2" t="n">
        <v>17</v>
      </c>
      <c r="F66" s="18" t="n">
        <v>959.28</v>
      </c>
    </row>
    <row r="67" customFormat="false" ht="15" hidden="false" customHeight="false" outlineLevel="0" collapsed="false">
      <c r="A67" s="2" t="s">
        <v>47</v>
      </c>
      <c r="B67" s="2" t="s">
        <v>30</v>
      </c>
      <c r="C67" s="2" t="s">
        <v>44</v>
      </c>
      <c r="D67" s="2" t="n">
        <v>142</v>
      </c>
      <c r="E67" s="2" t="n">
        <v>3</v>
      </c>
      <c r="F67" s="18" t="n">
        <v>119.97</v>
      </c>
    </row>
    <row r="68" customFormat="false" ht="15" hidden="false" customHeight="false" outlineLevel="0" collapsed="false">
      <c r="A68" s="2" t="s">
        <v>47</v>
      </c>
      <c r="B68" s="2" t="s">
        <v>31</v>
      </c>
      <c r="C68" s="2" t="s">
        <v>42</v>
      </c>
      <c r="D68" s="2" t="n">
        <v>185</v>
      </c>
      <c r="E68" s="2" t="n">
        <v>4</v>
      </c>
      <c r="F68" s="18" t="n">
        <v>271.74</v>
      </c>
    </row>
    <row r="69" customFormat="false" ht="15" hidden="false" customHeight="false" outlineLevel="0" collapsed="false">
      <c r="A69" s="2" t="s">
        <v>47</v>
      </c>
      <c r="B69" s="2" t="s">
        <v>31</v>
      </c>
      <c r="C69" s="2" t="s">
        <v>43</v>
      </c>
      <c r="D69" s="2" t="n">
        <v>160</v>
      </c>
      <c r="E69" s="2" t="n">
        <v>2</v>
      </c>
      <c r="F69" s="18" t="n">
        <v>191.76</v>
      </c>
    </row>
    <row r="70" customFormat="false" ht="15" hidden="false" customHeight="false" outlineLevel="0" collapsed="false">
      <c r="A70" s="2" t="s">
        <v>47</v>
      </c>
      <c r="B70" s="2" t="s">
        <v>31</v>
      </c>
      <c r="C70" s="2" t="s">
        <v>44</v>
      </c>
      <c r="D70" s="2" t="n">
        <v>25</v>
      </c>
      <c r="E70" s="2" t="n">
        <v>0</v>
      </c>
      <c r="F70" s="18" t="n">
        <v>0</v>
      </c>
    </row>
    <row r="71" customFormat="false" ht="15" hidden="false" customHeight="false" outlineLevel="0" collapsed="false">
      <c r="A71" s="2" t="s">
        <v>47</v>
      </c>
      <c r="B71" s="2" t="s">
        <v>32</v>
      </c>
      <c r="C71" s="2" t="s">
        <v>42</v>
      </c>
      <c r="D71" s="2" t="n">
        <v>521</v>
      </c>
      <c r="E71" s="2" t="n">
        <v>14</v>
      </c>
      <c r="F71" s="18" t="n">
        <v>727.53</v>
      </c>
    </row>
    <row r="72" customFormat="false" ht="15" hidden="false" customHeight="false" outlineLevel="0" collapsed="false">
      <c r="A72" s="2" t="s">
        <v>47</v>
      </c>
      <c r="B72" s="2" t="s">
        <v>32</v>
      </c>
      <c r="C72" s="2" t="s">
        <v>43</v>
      </c>
      <c r="D72" s="2" t="n">
        <v>422</v>
      </c>
      <c r="E72" s="2" t="n">
        <v>5</v>
      </c>
      <c r="F72" s="18" t="n">
        <v>255.84</v>
      </c>
    </row>
    <row r="73" customFormat="false" ht="15" hidden="false" customHeight="false" outlineLevel="0" collapsed="false">
      <c r="A73" s="2" t="s">
        <v>47</v>
      </c>
      <c r="B73" s="2" t="s">
        <v>32</v>
      </c>
      <c r="C73" s="2" t="s">
        <v>44</v>
      </c>
      <c r="D73" s="2" t="n">
        <v>65</v>
      </c>
      <c r="E73" s="2" t="n">
        <v>2</v>
      </c>
      <c r="F73" s="18" t="n">
        <v>79.98</v>
      </c>
    </row>
    <row r="74" customFormat="false" ht="15" hidden="false" customHeight="false" outlineLevel="0" collapsed="false">
      <c r="A74" s="2" t="s">
        <v>48</v>
      </c>
      <c r="B74" s="2" t="s">
        <v>27</v>
      </c>
      <c r="C74" s="2" t="s">
        <v>42</v>
      </c>
      <c r="D74" s="2" t="n">
        <v>656</v>
      </c>
      <c r="E74" s="2" t="n">
        <v>41</v>
      </c>
      <c r="F74" s="18" t="n">
        <v>2533.83</v>
      </c>
    </row>
    <row r="75" customFormat="false" ht="15" hidden="false" customHeight="false" outlineLevel="0" collapsed="false">
      <c r="A75" s="2" t="s">
        <v>48</v>
      </c>
      <c r="B75" s="2" t="s">
        <v>27</v>
      </c>
      <c r="C75" s="2" t="s">
        <v>43</v>
      </c>
      <c r="D75" s="2" t="n">
        <v>539</v>
      </c>
      <c r="E75" s="2" t="n">
        <v>10</v>
      </c>
      <c r="F75" s="18" t="n">
        <v>511.68</v>
      </c>
    </row>
    <row r="76" customFormat="false" ht="15" hidden="false" customHeight="false" outlineLevel="0" collapsed="false">
      <c r="A76" s="2" t="s">
        <v>48</v>
      </c>
      <c r="B76" s="2" t="s">
        <v>27</v>
      </c>
      <c r="C76" s="2" t="s">
        <v>44</v>
      </c>
      <c r="D76" s="2" t="n">
        <v>91</v>
      </c>
      <c r="E76" s="2" t="n">
        <v>4</v>
      </c>
      <c r="F76" s="18" t="n">
        <v>271.74</v>
      </c>
    </row>
    <row r="77" customFormat="false" ht="15" hidden="false" customHeight="false" outlineLevel="0" collapsed="false">
      <c r="A77" s="2" t="s">
        <v>48</v>
      </c>
      <c r="B77" s="2" t="s">
        <v>28</v>
      </c>
      <c r="C77" s="2" t="s">
        <v>42</v>
      </c>
      <c r="D77" s="2" t="n">
        <v>355</v>
      </c>
      <c r="E77" s="2" t="n">
        <v>22</v>
      </c>
      <c r="F77" s="18" t="n">
        <v>1550.46</v>
      </c>
    </row>
    <row r="78" customFormat="false" ht="15" hidden="false" customHeight="false" outlineLevel="0" collapsed="false">
      <c r="A78" s="2" t="s">
        <v>48</v>
      </c>
      <c r="B78" s="2" t="s">
        <v>28</v>
      </c>
      <c r="C78" s="2" t="s">
        <v>43</v>
      </c>
      <c r="D78" s="2" t="n">
        <v>253</v>
      </c>
      <c r="E78" s="2" t="n">
        <v>8</v>
      </c>
      <c r="F78" s="18" t="n">
        <v>655.26</v>
      </c>
    </row>
    <row r="79" customFormat="false" ht="15" hidden="false" customHeight="false" outlineLevel="0" collapsed="false">
      <c r="A79" s="2" t="s">
        <v>48</v>
      </c>
      <c r="B79" s="2" t="s">
        <v>28</v>
      </c>
      <c r="C79" s="2" t="s">
        <v>44</v>
      </c>
      <c r="D79" s="2" t="n">
        <v>52</v>
      </c>
      <c r="E79" s="2" t="n">
        <v>5</v>
      </c>
      <c r="F79" s="18" t="n">
        <v>199.95</v>
      </c>
    </row>
    <row r="80" customFormat="false" ht="15" hidden="false" customHeight="false" outlineLevel="0" collapsed="false">
      <c r="A80" s="2" t="s">
        <v>48</v>
      </c>
      <c r="B80" s="2" t="s">
        <v>29</v>
      </c>
      <c r="C80" s="2" t="s">
        <v>42</v>
      </c>
      <c r="D80" s="2" t="n">
        <v>1832</v>
      </c>
      <c r="E80" s="2" t="n">
        <v>106</v>
      </c>
      <c r="F80" s="18" t="n">
        <v>6977.55</v>
      </c>
    </row>
    <row r="81" customFormat="false" ht="15" hidden="false" customHeight="false" outlineLevel="0" collapsed="false">
      <c r="A81" s="2" t="s">
        <v>48</v>
      </c>
      <c r="B81" s="2" t="s">
        <v>29</v>
      </c>
      <c r="C81" s="2" t="s">
        <v>43</v>
      </c>
      <c r="D81" s="2" t="n">
        <v>1380</v>
      </c>
      <c r="E81" s="2" t="n">
        <v>36</v>
      </c>
      <c r="F81" s="18" t="n">
        <v>2054.43</v>
      </c>
    </row>
    <row r="82" customFormat="false" ht="15" hidden="false" customHeight="false" outlineLevel="0" collapsed="false">
      <c r="A82" s="2" t="s">
        <v>48</v>
      </c>
      <c r="B82" s="2" t="s">
        <v>29</v>
      </c>
      <c r="C82" s="2" t="s">
        <v>44</v>
      </c>
      <c r="D82" s="2" t="n">
        <v>235</v>
      </c>
      <c r="E82" s="2" t="n">
        <v>8</v>
      </c>
      <c r="F82" s="18" t="n">
        <v>319.92</v>
      </c>
    </row>
    <row r="83" customFormat="false" ht="15" hidden="false" customHeight="false" outlineLevel="0" collapsed="false">
      <c r="A83" s="2" t="s">
        <v>48</v>
      </c>
      <c r="B83" s="2" t="s">
        <v>30</v>
      </c>
      <c r="C83" s="2" t="s">
        <v>42</v>
      </c>
      <c r="D83" s="2" t="n">
        <v>956</v>
      </c>
      <c r="E83" s="2" t="n">
        <v>75</v>
      </c>
      <c r="F83" s="18" t="n">
        <v>5011.29</v>
      </c>
    </row>
    <row r="84" customFormat="false" ht="15" hidden="false" customHeight="false" outlineLevel="0" collapsed="false">
      <c r="A84" s="2" t="s">
        <v>48</v>
      </c>
      <c r="B84" s="2" t="s">
        <v>30</v>
      </c>
      <c r="C84" s="2" t="s">
        <v>43</v>
      </c>
      <c r="D84" s="2" t="n">
        <v>799</v>
      </c>
      <c r="E84" s="2" t="n">
        <v>35</v>
      </c>
      <c r="F84" s="18" t="n">
        <v>2014.44</v>
      </c>
    </row>
    <row r="85" customFormat="false" ht="15" hidden="false" customHeight="false" outlineLevel="0" collapsed="false">
      <c r="A85" s="2" t="s">
        <v>48</v>
      </c>
      <c r="B85" s="2" t="s">
        <v>30</v>
      </c>
      <c r="C85" s="2" t="s">
        <v>44</v>
      </c>
      <c r="D85" s="2" t="n">
        <v>131</v>
      </c>
      <c r="E85" s="2" t="n">
        <v>10</v>
      </c>
      <c r="F85" s="18" t="n">
        <v>455.79</v>
      </c>
    </row>
    <row r="86" customFormat="false" ht="15" hidden="false" customHeight="false" outlineLevel="0" collapsed="false">
      <c r="A86" s="2" t="s">
        <v>48</v>
      </c>
      <c r="B86" s="2" t="s">
        <v>31</v>
      </c>
      <c r="C86" s="2" t="s">
        <v>42</v>
      </c>
      <c r="D86" s="2" t="n">
        <v>261</v>
      </c>
      <c r="E86" s="2" t="n">
        <v>19</v>
      </c>
      <c r="F86" s="18" t="n">
        <v>927.48</v>
      </c>
    </row>
    <row r="87" customFormat="false" ht="15" hidden="false" customHeight="false" outlineLevel="0" collapsed="false">
      <c r="A87" s="2" t="s">
        <v>48</v>
      </c>
      <c r="B87" s="2" t="s">
        <v>31</v>
      </c>
      <c r="C87" s="2" t="s">
        <v>43</v>
      </c>
      <c r="D87" s="2" t="n">
        <v>212</v>
      </c>
      <c r="E87" s="2" t="n">
        <v>9</v>
      </c>
      <c r="F87" s="18" t="n">
        <v>527.58</v>
      </c>
    </row>
    <row r="88" customFormat="false" ht="15" hidden="false" customHeight="false" outlineLevel="0" collapsed="false">
      <c r="A88" s="2" t="s">
        <v>48</v>
      </c>
      <c r="B88" s="2" t="s">
        <v>31</v>
      </c>
      <c r="C88" s="2" t="s">
        <v>44</v>
      </c>
      <c r="D88" s="2" t="n">
        <v>28</v>
      </c>
      <c r="E88" s="2" t="n">
        <v>0</v>
      </c>
      <c r="F88" s="18" t="n">
        <v>0</v>
      </c>
    </row>
    <row r="89" customFormat="false" ht="15" hidden="false" customHeight="false" outlineLevel="0" collapsed="false">
      <c r="A89" s="2" t="s">
        <v>48</v>
      </c>
      <c r="B89" s="2" t="s">
        <v>32</v>
      </c>
      <c r="C89" s="2" t="s">
        <v>42</v>
      </c>
      <c r="D89" s="2" t="n">
        <v>556</v>
      </c>
      <c r="E89" s="2" t="n">
        <v>23</v>
      </c>
      <c r="F89" s="18" t="n">
        <v>1478.67</v>
      </c>
    </row>
    <row r="90" customFormat="false" ht="15" hidden="false" customHeight="false" outlineLevel="0" collapsed="false">
      <c r="A90" s="2" t="s">
        <v>48</v>
      </c>
      <c r="B90" s="2" t="s">
        <v>32</v>
      </c>
      <c r="C90" s="2" t="s">
        <v>43</v>
      </c>
      <c r="D90" s="2" t="n">
        <v>451</v>
      </c>
      <c r="E90" s="2" t="n">
        <v>7</v>
      </c>
      <c r="F90" s="18" t="n">
        <v>447.6</v>
      </c>
    </row>
    <row r="91" customFormat="false" ht="15" hidden="false" customHeight="false" outlineLevel="0" collapsed="false">
      <c r="A91" s="2" t="s">
        <v>48</v>
      </c>
      <c r="B91" s="2" t="s">
        <v>32</v>
      </c>
      <c r="C91" s="2" t="s">
        <v>44</v>
      </c>
      <c r="D91" s="2" t="n">
        <v>64</v>
      </c>
      <c r="E91" s="2" t="n">
        <v>3</v>
      </c>
      <c r="F91" s="18" t="n">
        <v>175.86</v>
      </c>
    </row>
    <row r="92" customFormat="false" ht="15" hidden="false" customHeight="false" outlineLevel="0" collapsed="false">
      <c r="A92" s="2" t="s">
        <v>49</v>
      </c>
      <c r="B92" s="2" t="s">
        <v>27</v>
      </c>
      <c r="C92" s="2" t="s">
        <v>42</v>
      </c>
      <c r="D92" s="2" t="n">
        <v>695</v>
      </c>
      <c r="E92" s="2" t="n">
        <v>33</v>
      </c>
      <c r="F92" s="18" t="n">
        <v>2325.69</v>
      </c>
    </row>
    <row r="93" customFormat="false" ht="15" hidden="false" customHeight="false" outlineLevel="0" collapsed="false">
      <c r="A93" s="2" t="s">
        <v>49</v>
      </c>
      <c r="B93" s="2" t="s">
        <v>27</v>
      </c>
      <c r="C93" s="2" t="s">
        <v>43</v>
      </c>
      <c r="D93" s="2" t="n">
        <v>565</v>
      </c>
      <c r="E93" s="2" t="n">
        <v>16</v>
      </c>
      <c r="F93" s="18" t="n">
        <v>807.51</v>
      </c>
    </row>
    <row r="94" customFormat="false" ht="15" hidden="false" customHeight="false" outlineLevel="0" collapsed="false">
      <c r="A94" s="2" t="s">
        <v>49</v>
      </c>
      <c r="B94" s="2" t="s">
        <v>27</v>
      </c>
      <c r="C94" s="2" t="s">
        <v>44</v>
      </c>
      <c r="D94" s="2" t="n">
        <v>105</v>
      </c>
      <c r="E94" s="2" t="n">
        <v>4</v>
      </c>
      <c r="F94" s="18" t="n">
        <v>215.85</v>
      </c>
    </row>
    <row r="95" customFormat="false" ht="15" hidden="false" customHeight="false" outlineLevel="0" collapsed="false">
      <c r="A95" s="2" t="s">
        <v>49</v>
      </c>
      <c r="B95" s="2" t="s">
        <v>28</v>
      </c>
      <c r="C95" s="2" t="s">
        <v>42</v>
      </c>
      <c r="D95" s="2" t="n">
        <v>376</v>
      </c>
      <c r="E95" s="2" t="n">
        <v>25</v>
      </c>
      <c r="F95" s="18" t="n">
        <v>1502.76</v>
      </c>
    </row>
    <row r="96" customFormat="false" ht="15" hidden="false" customHeight="false" outlineLevel="0" collapsed="false">
      <c r="A96" s="2" t="s">
        <v>49</v>
      </c>
      <c r="B96" s="2" t="s">
        <v>28</v>
      </c>
      <c r="C96" s="2" t="s">
        <v>43</v>
      </c>
      <c r="D96" s="2" t="n">
        <v>315</v>
      </c>
      <c r="E96" s="2" t="n">
        <v>17</v>
      </c>
      <c r="F96" s="18" t="n">
        <v>1015.17</v>
      </c>
    </row>
    <row r="97" customFormat="false" ht="15" hidden="false" customHeight="false" outlineLevel="0" collapsed="false">
      <c r="A97" s="2" t="s">
        <v>49</v>
      </c>
      <c r="B97" s="2" t="s">
        <v>28</v>
      </c>
      <c r="C97" s="2" t="s">
        <v>44</v>
      </c>
      <c r="D97" s="2" t="n">
        <v>40</v>
      </c>
      <c r="E97" s="2" t="n">
        <v>2</v>
      </c>
      <c r="F97" s="18" t="n">
        <v>135.87</v>
      </c>
    </row>
    <row r="98" customFormat="false" ht="15" hidden="false" customHeight="false" outlineLevel="0" collapsed="false">
      <c r="A98" s="2" t="s">
        <v>49</v>
      </c>
      <c r="B98" s="2" t="s">
        <v>29</v>
      </c>
      <c r="C98" s="2" t="s">
        <v>42</v>
      </c>
      <c r="D98" s="2" t="n">
        <v>1812</v>
      </c>
      <c r="E98" s="2" t="n">
        <v>96</v>
      </c>
      <c r="F98" s="18" t="n">
        <v>5962.86</v>
      </c>
    </row>
    <row r="99" customFormat="false" ht="15" hidden="false" customHeight="false" outlineLevel="0" collapsed="false">
      <c r="A99" s="2" t="s">
        <v>49</v>
      </c>
      <c r="B99" s="2" t="s">
        <v>29</v>
      </c>
      <c r="C99" s="2" t="s">
        <v>43</v>
      </c>
      <c r="D99" s="2" t="n">
        <v>1386</v>
      </c>
      <c r="E99" s="2" t="n">
        <v>39</v>
      </c>
      <c r="F99" s="18" t="n">
        <v>2118.51</v>
      </c>
    </row>
    <row r="100" customFormat="false" ht="15" hidden="false" customHeight="false" outlineLevel="0" collapsed="false">
      <c r="A100" s="2" t="s">
        <v>49</v>
      </c>
      <c r="B100" s="2" t="s">
        <v>29</v>
      </c>
      <c r="C100" s="2" t="s">
        <v>44</v>
      </c>
      <c r="D100" s="2" t="n">
        <v>242</v>
      </c>
      <c r="E100" s="2" t="n">
        <v>9</v>
      </c>
      <c r="F100" s="18" t="n">
        <v>415.8</v>
      </c>
    </row>
    <row r="101" customFormat="false" ht="15" hidden="false" customHeight="false" outlineLevel="0" collapsed="false">
      <c r="A101" s="2" t="s">
        <v>49</v>
      </c>
      <c r="B101" s="2" t="s">
        <v>30</v>
      </c>
      <c r="C101" s="2" t="s">
        <v>42</v>
      </c>
      <c r="D101" s="2" t="n">
        <v>993</v>
      </c>
      <c r="E101" s="2" t="n">
        <v>83</v>
      </c>
      <c r="F101" s="18" t="n">
        <v>5442.99</v>
      </c>
    </row>
    <row r="102" customFormat="false" ht="15" hidden="false" customHeight="false" outlineLevel="0" collapsed="false">
      <c r="A102" s="2" t="s">
        <v>49</v>
      </c>
      <c r="B102" s="2" t="s">
        <v>30</v>
      </c>
      <c r="C102" s="2" t="s">
        <v>43</v>
      </c>
      <c r="D102" s="2" t="n">
        <v>816</v>
      </c>
      <c r="E102" s="2" t="n">
        <v>31</v>
      </c>
      <c r="F102" s="18" t="n">
        <v>1575.03</v>
      </c>
    </row>
    <row r="103" customFormat="false" ht="15" hidden="false" customHeight="false" outlineLevel="0" collapsed="false">
      <c r="A103" s="2" t="s">
        <v>49</v>
      </c>
      <c r="B103" s="2" t="s">
        <v>30</v>
      </c>
      <c r="C103" s="2" t="s">
        <v>44</v>
      </c>
      <c r="D103" s="2" t="n">
        <v>132</v>
      </c>
      <c r="E103" s="2" t="n">
        <v>5</v>
      </c>
      <c r="F103" s="18" t="n">
        <v>311.73</v>
      </c>
    </row>
    <row r="104" customFormat="false" ht="15" hidden="false" customHeight="false" outlineLevel="0" collapsed="false">
      <c r="A104" s="2" t="s">
        <v>49</v>
      </c>
      <c r="B104" s="2" t="s">
        <v>31</v>
      </c>
      <c r="C104" s="2" t="s">
        <v>42</v>
      </c>
      <c r="D104" s="2" t="n">
        <v>197</v>
      </c>
      <c r="E104" s="2" t="n">
        <v>6</v>
      </c>
      <c r="F104" s="18" t="n">
        <v>351.72</v>
      </c>
    </row>
    <row r="105" customFormat="false" ht="15" hidden="false" customHeight="false" outlineLevel="0" collapsed="false">
      <c r="A105" s="2" t="s">
        <v>49</v>
      </c>
      <c r="B105" s="2" t="s">
        <v>31</v>
      </c>
      <c r="C105" s="2" t="s">
        <v>43</v>
      </c>
      <c r="D105" s="2" t="n">
        <v>164</v>
      </c>
      <c r="E105" s="2" t="n">
        <v>1</v>
      </c>
      <c r="F105" s="18" t="n">
        <v>39.99</v>
      </c>
    </row>
    <row r="106" customFormat="false" ht="15" hidden="false" customHeight="false" outlineLevel="0" collapsed="false">
      <c r="A106" s="2" t="s">
        <v>49</v>
      </c>
      <c r="B106" s="2" t="s">
        <v>31</v>
      </c>
      <c r="C106" s="2" t="s">
        <v>44</v>
      </c>
      <c r="D106" s="2" t="n">
        <v>26</v>
      </c>
      <c r="E106" s="2" t="n">
        <v>1</v>
      </c>
      <c r="F106" s="18" t="n">
        <v>39.99</v>
      </c>
    </row>
    <row r="107" customFormat="false" ht="15" hidden="false" customHeight="false" outlineLevel="0" collapsed="false">
      <c r="A107" s="2" t="s">
        <v>49</v>
      </c>
      <c r="B107" s="2" t="s">
        <v>32</v>
      </c>
      <c r="C107" s="2" t="s">
        <v>42</v>
      </c>
      <c r="D107" s="2" t="n">
        <v>554</v>
      </c>
      <c r="E107" s="2" t="n">
        <v>17</v>
      </c>
      <c r="F107" s="18" t="n">
        <v>1015.17</v>
      </c>
    </row>
    <row r="108" customFormat="false" ht="15" hidden="false" customHeight="false" outlineLevel="0" collapsed="false">
      <c r="A108" s="2" t="s">
        <v>49</v>
      </c>
      <c r="B108" s="2" t="s">
        <v>32</v>
      </c>
      <c r="C108" s="2" t="s">
        <v>43</v>
      </c>
      <c r="D108" s="2" t="n">
        <v>397</v>
      </c>
      <c r="E108" s="2" t="n">
        <v>6</v>
      </c>
      <c r="F108" s="18" t="n">
        <v>351.72</v>
      </c>
    </row>
    <row r="109" customFormat="false" ht="15" hidden="false" customHeight="false" outlineLevel="0" collapsed="false">
      <c r="A109" s="2" t="s">
        <v>49</v>
      </c>
      <c r="B109" s="2" t="s">
        <v>32</v>
      </c>
      <c r="C109" s="2" t="s">
        <v>44</v>
      </c>
      <c r="D109" s="2" t="n">
        <v>80</v>
      </c>
      <c r="E109" s="2" t="n">
        <v>2</v>
      </c>
      <c r="F109" s="18" t="n">
        <v>79.98</v>
      </c>
    </row>
    <row r="110" customFormat="false" ht="15" hidden="false" customHeight="false" outlineLevel="0" collapsed="false">
      <c r="A110" s="2" t="s">
        <v>50</v>
      </c>
      <c r="B110" s="2" t="s">
        <v>27</v>
      </c>
      <c r="C110" s="2" t="s">
        <v>42</v>
      </c>
      <c r="D110" s="2" t="n">
        <v>773</v>
      </c>
      <c r="E110" s="2" t="n">
        <v>53</v>
      </c>
      <c r="F110" s="18" t="n">
        <v>3740.28</v>
      </c>
    </row>
    <row r="111" customFormat="false" ht="15" hidden="false" customHeight="false" outlineLevel="0" collapsed="false">
      <c r="A111" s="2" t="s">
        <v>50</v>
      </c>
      <c r="B111" s="2" t="s">
        <v>27</v>
      </c>
      <c r="C111" s="2" t="s">
        <v>43</v>
      </c>
      <c r="D111" s="2" t="n">
        <v>596</v>
      </c>
      <c r="E111" s="2" t="n">
        <v>15</v>
      </c>
      <c r="F111" s="18" t="n">
        <v>767.52</v>
      </c>
    </row>
    <row r="112" customFormat="false" ht="15" hidden="false" customHeight="false" outlineLevel="0" collapsed="false">
      <c r="A112" s="2" t="s">
        <v>50</v>
      </c>
      <c r="B112" s="2" t="s">
        <v>27</v>
      </c>
      <c r="C112" s="2" t="s">
        <v>44</v>
      </c>
      <c r="D112" s="2" t="n">
        <v>95</v>
      </c>
      <c r="E112" s="2" t="n">
        <v>8</v>
      </c>
      <c r="F112" s="18" t="n">
        <v>375.81</v>
      </c>
    </row>
    <row r="113" customFormat="false" ht="15" hidden="false" customHeight="false" outlineLevel="0" collapsed="false">
      <c r="A113" s="2" t="s">
        <v>50</v>
      </c>
      <c r="B113" s="2" t="s">
        <v>28</v>
      </c>
      <c r="C113" s="2" t="s">
        <v>42</v>
      </c>
      <c r="D113" s="2" t="n">
        <v>425</v>
      </c>
      <c r="E113" s="2" t="n">
        <v>25</v>
      </c>
      <c r="F113" s="18" t="n">
        <v>1670.43</v>
      </c>
    </row>
    <row r="114" customFormat="false" ht="15" hidden="false" customHeight="false" outlineLevel="0" collapsed="false">
      <c r="A114" s="2" t="s">
        <v>50</v>
      </c>
      <c r="B114" s="2" t="s">
        <v>28</v>
      </c>
      <c r="C114" s="2" t="s">
        <v>43</v>
      </c>
      <c r="D114" s="2" t="n">
        <v>288</v>
      </c>
      <c r="E114" s="2" t="n">
        <v>12</v>
      </c>
      <c r="F114" s="18" t="n">
        <v>703.44</v>
      </c>
    </row>
    <row r="115" customFormat="false" ht="15" hidden="false" customHeight="false" outlineLevel="0" collapsed="false">
      <c r="A115" s="2" t="s">
        <v>50</v>
      </c>
      <c r="B115" s="2" t="s">
        <v>28</v>
      </c>
      <c r="C115" s="2" t="s">
        <v>44</v>
      </c>
      <c r="D115" s="2" t="n">
        <v>50</v>
      </c>
      <c r="E115" s="2" t="n">
        <v>2</v>
      </c>
      <c r="F115" s="18" t="n">
        <v>191.76</v>
      </c>
    </row>
    <row r="116" customFormat="false" ht="15" hidden="false" customHeight="false" outlineLevel="0" collapsed="false">
      <c r="A116" s="2" t="s">
        <v>50</v>
      </c>
      <c r="B116" s="2" t="s">
        <v>29</v>
      </c>
      <c r="C116" s="2" t="s">
        <v>42</v>
      </c>
      <c r="D116" s="2" t="n">
        <v>1920</v>
      </c>
      <c r="E116" s="2" t="n">
        <v>115</v>
      </c>
      <c r="F116" s="18" t="n">
        <v>7505.13</v>
      </c>
    </row>
    <row r="117" customFormat="false" ht="15" hidden="false" customHeight="false" outlineLevel="0" collapsed="false">
      <c r="A117" s="2" t="s">
        <v>50</v>
      </c>
      <c r="B117" s="2" t="s">
        <v>29</v>
      </c>
      <c r="C117" s="2" t="s">
        <v>43</v>
      </c>
      <c r="D117" s="2" t="n">
        <v>1507</v>
      </c>
      <c r="E117" s="2" t="n">
        <v>45</v>
      </c>
      <c r="F117" s="18" t="n">
        <v>2414.34</v>
      </c>
    </row>
    <row r="118" customFormat="false" ht="15" hidden="false" customHeight="false" outlineLevel="0" collapsed="false">
      <c r="A118" s="2" t="s">
        <v>50</v>
      </c>
      <c r="B118" s="2" t="s">
        <v>29</v>
      </c>
      <c r="C118" s="2" t="s">
        <v>44</v>
      </c>
      <c r="D118" s="2" t="n">
        <v>257</v>
      </c>
      <c r="E118" s="2" t="n">
        <v>10</v>
      </c>
      <c r="F118" s="18" t="n">
        <v>511.68</v>
      </c>
    </row>
    <row r="119" customFormat="false" ht="15" hidden="false" customHeight="false" outlineLevel="0" collapsed="false">
      <c r="A119" s="2" t="s">
        <v>50</v>
      </c>
      <c r="B119" s="2" t="s">
        <v>30</v>
      </c>
      <c r="C119" s="2" t="s">
        <v>42</v>
      </c>
      <c r="D119" s="2" t="n">
        <v>1093</v>
      </c>
      <c r="E119" s="2" t="n">
        <v>84</v>
      </c>
      <c r="F119" s="18" t="n">
        <v>5482.98</v>
      </c>
    </row>
    <row r="120" customFormat="false" ht="15" hidden="false" customHeight="false" outlineLevel="0" collapsed="false">
      <c r="A120" s="2" t="s">
        <v>50</v>
      </c>
      <c r="B120" s="2" t="s">
        <v>30</v>
      </c>
      <c r="C120" s="2" t="s">
        <v>43</v>
      </c>
      <c r="D120" s="2" t="n">
        <v>891</v>
      </c>
      <c r="E120" s="2" t="n">
        <v>28</v>
      </c>
      <c r="F120" s="18" t="n">
        <v>1678.62</v>
      </c>
    </row>
    <row r="121" customFormat="false" ht="15" hidden="false" customHeight="false" outlineLevel="0" collapsed="false">
      <c r="A121" s="2" t="s">
        <v>50</v>
      </c>
      <c r="B121" s="2" t="s">
        <v>30</v>
      </c>
      <c r="C121" s="2" t="s">
        <v>44</v>
      </c>
      <c r="D121" s="2" t="n">
        <v>155</v>
      </c>
      <c r="E121" s="2" t="n">
        <v>9</v>
      </c>
      <c r="F121" s="18" t="n">
        <v>471.69</v>
      </c>
    </row>
    <row r="122" customFormat="false" ht="15" hidden="false" customHeight="false" outlineLevel="0" collapsed="false">
      <c r="A122" s="2" t="s">
        <v>50</v>
      </c>
      <c r="B122" s="2" t="s">
        <v>31</v>
      </c>
      <c r="C122" s="2" t="s">
        <v>42</v>
      </c>
      <c r="D122" s="2" t="n">
        <v>240</v>
      </c>
      <c r="E122" s="2" t="n">
        <v>19</v>
      </c>
      <c r="F122" s="18" t="n">
        <v>1262.82</v>
      </c>
    </row>
    <row r="123" customFormat="false" ht="15" hidden="false" customHeight="false" outlineLevel="0" collapsed="false">
      <c r="A123" s="2" t="s">
        <v>50</v>
      </c>
      <c r="B123" s="2" t="s">
        <v>31</v>
      </c>
      <c r="C123" s="2" t="s">
        <v>43</v>
      </c>
      <c r="D123" s="2" t="n">
        <v>189</v>
      </c>
      <c r="E123" s="2" t="n">
        <v>1</v>
      </c>
      <c r="F123" s="18" t="n">
        <v>95.88</v>
      </c>
    </row>
    <row r="124" customFormat="false" ht="15" hidden="false" customHeight="false" outlineLevel="0" collapsed="false">
      <c r="A124" s="2" t="s">
        <v>50</v>
      </c>
      <c r="B124" s="2" t="s">
        <v>31</v>
      </c>
      <c r="C124" s="2" t="s">
        <v>44</v>
      </c>
      <c r="D124" s="2" t="n">
        <v>27</v>
      </c>
      <c r="E124" s="2" t="n">
        <v>2</v>
      </c>
      <c r="F124" s="18" t="n">
        <v>135.87</v>
      </c>
    </row>
    <row r="125" customFormat="false" ht="15" hidden="false" customHeight="false" outlineLevel="0" collapsed="false">
      <c r="A125" s="2" t="s">
        <v>50</v>
      </c>
      <c r="B125" s="2" t="s">
        <v>32</v>
      </c>
      <c r="C125" s="2" t="s">
        <v>42</v>
      </c>
      <c r="D125" s="2" t="n">
        <v>580</v>
      </c>
      <c r="E125" s="2" t="n">
        <v>30</v>
      </c>
      <c r="F125" s="18" t="n">
        <v>1982.16</v>
      </c>
    </row>
    <row r="126" customFormat="false" ht="15" hidden="false" customHeight="false" outlineLevel="0" collapsed="false">
      <c r="A126" s="2" t="s">
        <v>50</v>
      </c>
      <c r="B126" s="2" t="s">
        <v>32</v>
      </c>
      <c r="C126" s="2" t="s">
        <v>43</v>
      </c>
      <c r="D126" s="2" t="n">
        <v>467</v>
      </c>
      <c r="E126" s="2" t="n">
        <v>5</v>
      </c>
      <c r="F126" s="18" t="n">
        <v>367.62</v>
      </c>
    </row>
    <row r="127" customFormat="false" ht="15" hidden="false" customHeight="false" outlineLevel="0" collapsed="false">
      <c r="A127" s="2" t="s">
        <v>50</v>
      </c>
      <c r="B127" s="2" t="s">
        <v>32</v>
      </c>
      <c r="C127" s="2" t="s">
        <v>44</v>
      </c>
      <c r="D127" s="2" t="n">
        <v>80</v>
      </c>
      <c r="E127" s="2" t="n">
        <v>2</v>
      </c>
      <c r="F127" s="18" t="n">
        <v>79.98</v>
      </c>
    </row>
    <row r="128" customFormat="false" ht="15" hidden="false" customHeight="false" outlineLevel="0" collapsed="false">
      <c r="A128" s="2" t="s">
        <v>51</v>
      </c>
      <c r="B128" s="2" t="s">
        <v>27</v>
      </c>
      <c r="C128" s="2" t="s">
        <v>42</v>
      </c>
      <c r="D128" s="2" t="n">
        <v>754</v>
      </c>
      <c r="E128" s="2" t="n">
        <v>36</v>
      </c>
      <c r="F128" s="18" t="n">
        <v>2110.32</v>
      </c>
    </row>
    <row r="129" customFormat="false" ht="15" hidden="false" customHeight="false" outlineLevel="0" collapsed="false">
      <c r="A129" s="2" t="s">
        <v>51</v>
      </c>
      <c r="B129" s="2" t="s">
        <v>27</v>
      </c>
      <c r="C129" s="2" t="s">
        <v>43</v>
      </c>
      <c r="D129" s="2" t="n">
        <v>575</v>
      </c>
      <c r="E129" s="2" t="n">
        <v>15</v>
      </c>
      <c r="F129" s="18" t="n">
        <v>823.41</v>
      </c>
    </row>
    <row r="130" customFormat="false" ht="15" hidden="false" customHeight="false" outlineLevel="0" collapsed="false">
      <c r="A130" s="2" t="s">
        <v>51</v>
      </c>
      <c r="B130" s="2" t="s">
        <v>27</v>
      </c>
      <c r="C130" s="2" t="s">
        <v>44</v>
      </c>
      <c r="D130" s="2" t="n">
        <v>103</v>
      </c>
      <c r="E130" s="2" t="n">
        <v>7</v>
      </c>
      <c r="F130" s="18" t="n">
        <v>503.49</v>
      </c>
    </row>
    <row r="131" customFormat="false" ht="15" hidden="false" customHeight="false" outlineLevel="0" collapsed="false">
      <c r="A131" s="2" t="s">
        <v>51</v>
      </c>
      <c r="B131" s="2" t="s">
        <v>28</v>
      </c>
      <c r="C131" s="2" t="s">
        <v>42</v>
      </c>
      <c r="D131" s="2" t="n">
        <v>381</v>
      </c>
      <c r="E131" s="2" t="n">
        <v>18</v>
      </c>
      <c r="F131" s="18" t="n">
        <v>1111.05</v>
      </c>
    </row>
    <row r="132" customFormat="false" ht="15" hidden="false" customHeight="false" outlineLevel="0" collapsed="false">
      <c r="A132" s="2" t="s">
        <v>51</v>
      </c>
      <c r="B132" s="2" t="s">
        <v>28</v>
      </c>
      <c r="C132" s="2" t="s">
        <v>43</v>
      </c>
      <c r="D132" s="2" t="n">
        <v>345</v>
      </c>
      <c r="E132" s="2" t="n">
        <v>13</v>
      </c>
      <c r="F132" s="18" t="n">
        <v>687.54</v>
      </c>
    </row>
    <row r="133" customFormat="false" ht="15" hidden="false" customHeight="false" outlineLevel="0" collapsed="false">
      <c r="A133" s="2" t="s">
        <v>51</v>
      </c>
      <c r="B133" s="2" t="s">
        <v>28</v>
      </c>
      <c r="C133" s="2" t="s">
        <v>44</v>
      </c>
      <c r="D133" s="2" t="n">
        <v>53</v>
      </c>
      <c r="E133" s="2" t="n">
        <v>1</v>
      </c>
      <c r="F133" s="18" t="n">
        <v>39.99</v>
      </c>
    </row>
    <row r="134" customFormat="false" ht="15" hidden="false" customHeight="false" outlineLevel="0" collapsed="false">
      <c r="A134" s="2" t="s">
        <v>51</v>
      </c>
      <c r="B134" s="2" t="s">
        <v>29</v>
      </c>
      <c r="C134" s="2" t="s">
        <v>42</v>
      </c>
      <c r="D134" s="2" t="n">
        <v>1865</v>
      </c>
      <c r="E134" s="2" t="n">
        <v>119</v>
      </c>
      <c r="F134" s="18" t="n">
        <v>7776.87</v>
      </c>
    </row>
    <row r="135" customFormat="false" ht="15" hidden="false" customHeight="false" outlineLevel="0" collapsed="false">
      <c r="A135" s="2" t="s">
        <v>51</v>
      </c>
      <c r="B135" s="2" t="s">
        <v>29</v>
      </c>
      <c r="C135" s="2" t="s">
        <v>43</v>
      </c>
      <c r="D135" s="2" t="n">
        <v>1571</v>
      </c>
      <c r="E135" s="2" t="n">
        <v>36</v>
      </c>
      <c r="F135" s="18" t="n">
        <v>2222.1</v>
      </c>
    </row>
    <row r="136" customFormat="false" ht="15" hidden="false" customHeight="false" outlineLevel="0" collapsed="false">
      <c r="A136" s="2" t="s">
        <v>51</v>
      </c>
      <c r="B136" s="2" t="s">
        <v>29</v>
      </c>
      <c r="C136" s="2" t="s">
        <v>44</v>
      </c>
      <c r="D136" s="2" t="n">
        <v>252</v>
      </c>
      <c r="E136" s="2" t="n">
        <v>14</v>
      </c>
      <c r="F136" s="18" t="n">
        <v>895.2</v>
      </c>
    </row>
    <row r="137" customFormat="false" ht="15" hidden="false" customHeight="false" outlineLevel="0" collapsed="false">
      <c r="A137" s="2" t="s">
        <v>51</v>
      </c>
      <c r="B137" s="2" t="s">
        <v>30</v>
      </c>
      <c r="C137" s="2" t="s">
        <v>42</v>
      </c>
      <c r="D137" s="2" t="n">
        <v>1104</v>
      </c>
      <c r="E137" s="2" t="n">
        <v>85</v>
      </c>
      <c r="F137" s="18" t="n">
        <v>4964.07</v>
      </c>
    </row>
    <row r="138" customFormat="false" ht="15" hidden="false" customHeight="false" outlineLevel="0" collapsed="false">
      <c r="A138" s="2" t="s">
        <v>51</v>
      </c>
      <c r="B138" s="2" t="s">
        <v>30</v>
      </c>
      <c r="C138" s="2" t="s">
        <v>43</v>
      </c>
      <c r="D138" s="2" t="n">
        <v>894</v>
      </c>
      <c r="E138" s="2" t="n">
        <v>31</v>
      </c>
      <c r="F138" s="18" t="n">
        <v>1686.81</v>
      </c>
    </row>
    <row r="139" customFormat="false" ht="15" hidden="false" customHeight="false" outlineLevel="0" collapsed="false">
      <c r="A139" s="2" t="s">
        <v>51</v>
      </c>
      <c r="B139" s="2" t="s">
        <v>30</v>
      </c>
      <c r="C139" s="2" t="s">
        <v>44</v>
      </c>
      <c r="D139" s="2" t="n">
        <v>147</v>
      </c>
      <c r="E139" s="2" t="n">
        <v>7</v>
      </c>
      <c r="F139" s="18" t="n">
        <v>391.71</v>
      </c>
    </row>
    <row r="140" customFormat="false" ht="15" hidden="false" customHeight="false" outlineLevel="0" collapsed="false">
      <c r="A140" s="2" t="s">
        <v>51</v>
      </c>
      <c r="B140" s="2" t="s">
        <v>31</v>
      </c>
      <c r="C140" s="2" t="s">
        <v>42</v>
      </c>
      <c r="D140" s="2" t="n">
        <v>240</v>
      </c>
      <c r="E140" s="2" t="n">
        <v>18</v>
      </c>
      <c r="F140" s="18" t="n">
        <v>1278.72</v>
      </c>
    </row>
    <row r="141" customFormat="false" ht="15" hidden="false" customHeight="false" outlineLevel="0" collapsed="false">
      <c r="A141" s="2" t="s">
        <v>51</v>
      </c>
      <c r="B141" s="2" t="s">
        <v>31</v>
      </c>
      <c r="C141" s="2" t="s">
        <v>43</v>
      </c>
      <c r="D141" s="2" t="n">
        <v>185</v>
      </c>
      <c r="E141" s="2" t="n">
        <v>5</v>
      </c>
      <c r="F141" s="18" t="n">
        <v>255.84</v>
      </c>
    </row>
    <row r="142" customFormat="false" ht="15" hidden="false" customHeight="false" outlineLevel="0" collapsed="false">
      <c r="A142" s="2" t="s">
        <v>51</v>
      </c>
      <c r="B142" s="2" t="s">
        <v>31</v>
      </c>
      <c r="C142" s="2" t="s">
        <v>44</v>
      </c>
      <c r="D142" s="2" t="n">
        <v>39</v>
      </c>
      <c r="E142" s="2" t="n">
        <v>0</v>
      </c>
      <c r="F142" s="18" t="n">
        <v>0</v>
      </c>
    </row>
    <row r="143" customFormat="false" ht="15" hidden="false" customHeight="false" outlineLevel="0" collapsed="false">
      <c r="A143" s="2" t="s">
        <v>51</v>
      </c>
      <c r="B143" s="2" t="s">
        <v>32</v>
      </c>
      <c r="C143" s="2" t="s">
        <v>42</v>
      </c>
      <c r="D143" s="2" t="n">
        <v>631</v>
      </c>
      <c r="E143" s="2" t="n">
        <v>25</v>
      </c>
      <c r="F143" s="18" t="n">
        <v>1614.54</v>
      </c>
    </row>
    <row r="144" customFormat="false" ht="15" hidden="false" customHeight="false" outlineLevel="0" collapsed="false">
      <c r="A144" s="2" t="s">
        <v>51</v>
      </c>
      <c r="B144" s="2" t="s">
        <v>32</v>
      </c>
      <c r="C144" s="2" t="s">
        <v>43</v>
      </c>
      <c r="D144" s="2" t="n">
        <v>517</v>
      </c>
      <c r="E144" s="2" t="n">
        <v>8</v>
      </c>
      <c r="F144" s="18" t="n">
        <v>487.59</v>
      </c>
    </row>
    <row r="145" customFormat="false" ht="15" hidden="false" customHeight="false" outlineLevel="0" collapsed="false">
      <c r="A145" s="2" t="s">
        <v>51</v>
      </c>
      <c r="B145" s="2" t="s">
        <v>32</v>
      </c>
      <c r="C145" s="2" t="s">
        <v>44</v>
      </c>
      <c r="D145" s="2" t="n">
        <v>101</v>
      </c>
      <c r="E145" s="2" t="n">
        <v>0</v>
      </c>
      <c r="F145" s="18" t="n">
        <v>0</v>
      </c>
    </row>
    <row r="146" customFormat="false" ht="15" hidden="false" customHeight="false" outlineLevel="0" collapsed="false">
      <c r="A146" s="2" t="s">
        <v>52</v>
      </c>
      <c r="B146" s="2" t="s">
        <v>27</v>
      </c>
      <c r="C146" s="2" t="s">
        <v>42</v>
      </c>
      <c r="D146" s="2" t="n">
        <v>736</v>
      </c>
      <c r="E146" s="2" t="n">
        <v>45</v>
      </c>
      <c r="F146" s="18" t="n">
        <v>2861.46</v>
      </c>
    </row>
    <row r="147" customFormat="false" ht="15" hidden="false" customHeight="false" outlineLevel="0" collapsed="false">
      <c r="A147" s="2" t="s">
        <v>52</v>
      </c>
      <c r="B147" s="2" t="s">
        <v>27</v>
      </c>
      <c r="C147" s="2" t="s">
        <v>43</v>
      </c>
      <c r="D147" s="2" t="n">
        <v>588</v>
      </c>
      <c r="E147" s="2" t="n">
        <v>14</v>
      </c>
      <c r="F147" s="18" t="n">
        <v>671.64</v>
      </c>
    </row>
    <row r="148" customFormat="false" ht="15" hidden="false" customHeight="false" outlineLevel="0" collapsed="false">
      <c r="A148" s="2" t="s">
        <v>52</v>
      </c>
      <c r="B148" s="2" t="s">
        <v>27</v>
      </c>
      <c r="C148" s="2" t="s">
        <v>44</v>
      </c>
      <c r="D148" s="2" t="n">
        <v>112</v>
      </c>
      <c r="E148" s="2" t="n">
        <v>5</v>
      </c>
      <c r="F148" s="18" t="n">
        <v>367.62</v>
      </c>
    </row>
    <row r="149" customFormat="false" ht="15" hidden="false" customHeight="false" outlineLevel="0" collapsed="false">
      <c r="A149" s="2" t="s">
        <v>52</v>
      </c>
      <c r="B149" s="2" t="s">
        <v>28</v>
      </c>
      <c r="C149" s="2" t="s">
        <v>42</v>
      </c>
      <c r="D149" s="2" t="n">
        <v>417</v>
      </c>
      <c r="E149" s="2" t="n">
        <v>33</v>
      </c>
      <c r="F149" s="18" t="n">
        <v>1990.35</v>
      </c>
    </row>
    <row r="150" customFormat="false" ht="15" hidden="false" customHeight="false" outlineLevel="0" collapsed="false">
      <c r="A150" s="2" t="s">
        <v>52</v>
      </c>
      <c r="B150" s="2" t="s">
        <v>28</v>
      </c>
      <c r="C150" s="2" t="s">
        <v>43</v>
      </c>
      <c r="D150" s="2" t="n">
        <v>323</v>
      </c>
      <c r="E150" s="2" t="n">
        <v>10</v>
      </c>
      <c r="F150" s="18" t="n">
        <v>511.68</v>
      </c>
    </row>
    <row r="151" customFormat="false" ht="15" hidden="false" customHeight="false" outlineLevel="0" collapsed="false">
      <c r="A151" s="2" t="s">
        <v>52</v>
      </c>
      <c r="B151" s="2" t="s">
        <v>28</v>
      </c>
      <c r="C151" s="2" t="s">
        <v>44</v>
      </c>
      <c r="D151" s="2" t="n">
        <v>48</v>
      </c>
      <c r="E151" s="2" t="n">
        <v>4</v>
      </c>
      <c r="F151" s="18" t="n">
        <v>215.85</v>
      </c>
    </row>
    <row r="152" customFormat="false" ht="15" hidden="false" customHeight="false" outlineLevel="0" collapsed="false">
      <c r="A152" s="2" t="s">
        <v>52</v>
      </c>
      <c r="B152" s="2" t="s">
        <v>29</v>
      </c>
      <c r="C152" s="2" t="s">
        <v>42</v>
      </c>
      <c r="D152" s="2" t="n">
        <v>1979</v>
      </c>
      <c r="E152" s="2" t="n">
        <v>128</v>
      </c>
      <c r="F152" s="18" t="n">
        <v>7857.33</v>
      </c>
    </row>
    <row r="153" customFormat="false" ht="15" hidden="false" customHeight="false" outlineLevel="0" collapsed="false">
      <c r="A153" s="2" t="s">
        <v>52</v>
      </c>
      <c r="B153" s="2" t="s">
        <v>29</v>
      </c>
      <c r="C153" s="2" t="s">
        <v>43</v>
      </c>
      <c r="D153" s="2" t="n">
        <v>1554</v>
      </c>
      <c r="E153" s="2" t="n">
        <v>41</v>
      </c>
      <c r="F153" s="18" t="n">
        <v>2422.05</v>
      </c>
    </row>
    <row r="154" customFormat="false" ht="15" hidden="false" customHeight="false" outlineLevel="0" collapsed="false">
      <c r="A154" s="2" t="s">
        <v>52</v>
      </c>
      <c r="B154" s="2" t="s">
        <v>29</v>
      </c>
      <c r="C154" s="2" t="s">
        <v>44</v>
      </c>
      <c r="D154" s="2" t="n">
        <v>229</v>
      </c>
      <c r="E154" s="2" t="n">
        <v>6</v>
      </c>
      <c r="F154" s="18" t="n">
        <v>407.61</v>
      </c>
    </row>
    <row r="155" customFormat="false" ht="15" hidden="false" customHeight="false" outlineLevel="0" collapsed="false">
      <c r="A155" s="2" t="s">
        <v>52</v>
      </c>
      <c r="B155" s="2" t="s">
        <v>30</v>
      </c>
      <c r="C155" s="2" t="s">
        <v>42</v>
      </c>
      <c r="D155" s="2" t="n">
        <v>1195</v>
      </c>
      <c r="E155" s="2" t="n">
        <v>96</v>
      </c>
      <c r="F155" s="18" t="n">
        <v>6130.53</v>
      </c>
    </row>
    <row r="156" customFormat="false" ht="15" hidden="false" customHeight="false" outlineLevel="0" collapsed="false">
      <c r="A156" s="2" t="s">
        <v>52</v>
      </c>
      <c r="B156" s="2" t="s">
        <v>30</v>
      </c>
      <c r="C156" s="2" t="s">
        <v>43</v>
      </c>
      <c r="D156" s="2" t="n">
        <v>901</v>
      </c>
      <c r="E156" s="2" t="n">
        <v>30</v>
      </c>
      <c r="F156" s="18" t="n">
        <v>1870.38</v>
      </c>
    </row>
    <row r="157" customFormat="false" ht="15" hidden="false" customHeight="false" outlineLevel="0" collapsed="false">
      <c r="A157" s="2" t="s">
        <v>52</v>
      </c>
      <c r="B157" s="2" t="s">
        <v>30</v>
      </c>
      <c r="C157" s="2" t="s">
        <v>44</v>
      </c>
      <c r="D157" s="2" t="n">
        <v>155</v>
      </c>
      <c r="E157" s="2" t="n">
        <v>9</v>
      </c>
      <c r="F157" s="18" t="n">
        <v>471.69</v>
      </c>
    </row>
    <row r="158" customFormat="false" ht="15" hidden="false" customHeight="false" outlineLevel="0" collapsed="false">
      <c r="A158" s="2" t="s">
        <v>52</v>
      </c>
      <c r="B158" s="2" t="s">
        <v>31</v>
      </c>
      <c r="C158" s="2" t="s">
        <v>42</v>
      </c>
      <c r="D158" s="2" t="n">
        <v>229</v>
      </c>
      <c r="E158" s="2" t="n">
        <v>9</v>
      </c>
      <c r="F158" s="18" t="n">
        <v>583.47</v>
      </c>
    </row>
    <row r="159" customFormat="false" ht="15" hidden="false" customHeight="false" outlineLevel="0" collapsed="false">
      <c r="A159" s="2" t="s">
        <v>52</v>
      </c>
      <c r="B159" s="2" t="s">
        <v>31</v>
      </c>
      <c r="C159" s="2" t="s">
        <v>43</v>
      </c>
      <c r="D159" s="2" t="n">
        <v>217</v>
      </c>
      <c r="E159" s="2" t="n">
        <v>6</v>
      </c>
      <c r="F159" s="18" t="n">
        <v>295.83</v>
      </c>
    </row>
    <row r="160" customFormat="false" ht="15" hidden="false" customHeight="false" outlineLevel="0" collapsed="false">
      <c r="A160" s="2" t="s">
        <v>52</v>
      </c>
      <c r="B160" s="2" t="s">
        <v>31</v>
      </c>
      <c r="C160" s="2" t="s">
        <v>44</v>
      </c>
      <c r="D160" s="2" t="n">
        <v>39</v>
      </c>
      <c r="E160" s="2" t="n">
        <v>4</v>
      </c>
      <c r="F160" s="18" t="n">
        <v>215.85</v>
      </c>
    </row>
    <row r="161" customFormat="false" ht="15" hidden="false" customHeight="false" outlineLevel="0" collapsed="false">
      <c r="A161" s="2" t="s">
        <v>52</v>
      </c>
      <c r="B161" s="2" t="s">
        <v>32</v>
      </c>
      <c r="C161" s="2" t="s">
        <v>42</v>
      </c>
      <c r="D161" s="2" t="n">
        <v>608</v>
      </c>
      <c r="E161" s="2" t="n">
        <v>26</v>
      </c>
      <c r="F161" s="18" t="n">
        <v>1542.75</v>
      </c>
    </row>
    <row r="162" customFormat="false" ht="15" hidden="false" customHeight="false" outlineLevel="0" collapsed="false">
      <c r="A162" s="2" t="s">
        <v>52</v>
      </c>
      <c r="B162" s="2" t="s">
        <v>32</v>
      </c>
      <c r="C162" s="2" t="s">
        <v>43</v>
      </c>
      <c r="D162" s="2" t="n">
        <v>475</v>
      </c>
      <c r="E162" s="2" t="n">
        <v>7</v>
      </c>
      <c r="F162" s="18" t="n">
        <v>279.93</v>
      </c>
    </row>
    <row r="163" customFormat="false" ht="15" hidden="false" customHeight="false" outlineLevel="0" collapsed="false">
      <c r="A163" s="2" t="s">
        <v>52</v>
      </c>
      <c r="B163" s="2" t="s">
        <v>32</v>
      </c>
      <c r="C163" s="2" t="s">
        <v>44</v>
      </c>
      <c r="D163" s="2" t="n">
        <v>90</v>
      </c>
      <c r="E163" s="2" t="n">
        <v>1</v>
      </c>
      <c r="F163" s="18" t="n">
        <v>39.99</v>
      </c>
    </row>
    <row r="164" customFormat="false" ht="15" hidden="false" customHeight="false" outlineLevel="0" collapsed="false">
      <c r="A164" s="2" t="s">
        <v>53</v>
      </c>
      <c r="B164" s="2" t="s">
        <v>27</v>
      </c>
      <c r="C164" s="2" t="s">
        <v>42</v>
      </c>
      <c r="D164" s="2" t="n">
        <v>821</v>
      </c>
      <c r="E164" s="2" t="n">
        <v>52</v>
      </c>
      <c r="F164" s="18" t="n">
        <v>3309.06</v>
      </c>
    </row>
    <row r="165" customFormat="false" ht="15" hidden="false" customHeight="false" outlineLevel="0" collapsed="false">
      <c r="A165" s="2" t="s">
        <v>53</v>
      </c>
      <c r="B165" s="2" t="s">
        <v>27</v>
      </c>
      <c r="C165" s="2" t="s">
        <v>43</v>
      </c>
      <c r="D165" s="2" t="n">
        <v>622</v>
      </c>
      <c r="E165" s="2" t="n">
        <v>11</v>
      </c>
      <c r="F165" s="18" t="n">
        <v>663.45</v>
      </c>
    </row>
    <row r="166" customFormat="false" ht="15" hidden="false" customHeight="false" outlineLevel="0" collapsed="false">
      <c r="A166" s="2" t="s">
        <v>53</v>
      </c>
      <c r="B166" s="2" t="s">
        <v>27</v>
      </c>
      <c r="C166" s="2" t="s">
        <v>44</v>
      </c>
      <c r="D166" s="2" t="n">
        <v>100</v>
      </c>
      <c r="E166" s="2" t="n">
        <v>7</v>
      </c>
      <c r="F166" s="18" t="n">
        <v>335.82</v>
      </c>
    </row>
    <row r="167" customFormat="false" ht="15" hidden="false" customHeight="false" outlineLevel="0" collapsed="false">
      <c r="A167" s="2" t="s">
        <v>53</v>
      </c>
      <c r="B167" s="2" t="s">
        <v>28</v>
      </c>
      <c r="C167" s="2" t="s">
        <v>42</v>
      </c>
      <c r="D167" s="2" t="n">
        <v>422</v>
      </c>
      <c r="E167" s="2" t="n">
        <v>29</v>
      </c>
      <c r="F167" s="18" t="n">
        <v>1886.28</v>
      </c>
    </row>
    <row r="168" customFormat="false" ht="15" hidden="false" customHeight="false" outlineLevel="0" collapsed="false">
      <c r="A168" s="2" t="s">
        <v>53</v>
      </c>
      <c r="B168" s="2" t="s">
        <v>28</v>
      </c>
      <c r="C168" s="2" t="s">
        <v>43</v>
      </c>
      <c r="D168" s="2" t="n">
        <v>344</v>
      </c>
      <c r="E168" s="2" t="n">
        <v>10</v>
      </c>
      <c r="F168" s="18" t="n">
        <v>623.46</v>
      </c>
    </row>
    <row r="169" customFormat="false" ht="15" hidden="false" customHeight="false" outlineLevel="0" collapsed="false">
      <c r="A169" s="2" t="s">
        <v>53</v>
      </c>
      <c r="B169" s="2" t="s">
        <v>28</v>
      </c>
      <c r="C169" s="2" t="s">
        <v>44</v>
      </c>
      <c r="D169" s="2" t="n">
        <v>63</v>
      </c>
      <c r="E169" s="2" t="n">
        <v>5</v>
      </c>
      <c r="F169" s="18" t="n">
        <v>255.84</v>
      </c>
    </row>
    <row r="170" customFormat="false" ht="15" hidden="false" customHeight="false" outlineLevel="0" collapsed="false">
      <c r="A170" s="2" t="s">
        <v>53</v>
      </c>
      <c r="B170" s="2" t="s">
        <v>29</v>
      </c>
      <c r="C170" s="2" t="s">
        <v>42</v>
      </c>
      <c r="D170" s="2" t="n">
        <v>2039</v>
      </c>
      <c r="E170" s="2" t="n">
        <v>123</v>
      </c>
      <c r="F170" s="18" t="n">
        <v>7489.71</v>
      </c>
    </row>
    <row r="171" customFormat="false" ht="15" hidden="false" customHeight="false" outlineLevel="0" collapsed="false">
      <c r="A171" s="2" t="s">
        <v>53</v>
      </c>
      <c r="B171" s="2" t="s">
        <v>29</v>
      </c>
      <c r="C171" s="2" t="s">
        <v>43</v>
      </c>
      <c r="D171" s="2" t="n">
        <v>1709</v>
      </c>
      <c r="E171" s="2" t="n">
        <v>33</v>
      </c>
      <c r="F171" s="18" t="n">
        <v>1878.57</v>
      </c>
    </row>
    <row r="172" customFormat="false" ht="15" hidden="false" customHeight="false" outlineLevel="0" collapsed="false">
      <c r="A172" s="2" t="s">
        <v>53</v>
      </c>
      <c r="B172" s="2" t="s">
        <v>29</v>
      </c>
      <c r="C172" s="2" t="s">
        <v>44</v>
      </c>
      <c r="D172" s="2" t="n">
        <v>285</v>
      </c>
      <c r="E172" s="2" t="n">
        <v>12</v>
      </c>
      <c r="F172" s="18" t="n">
        <v>759.33</v>
      </c>
    </row>
    <row r="173" customFormat="false" ht="15" hidden="false" customHeight="false" outlineLevel="0" collapsed="false">
      <c r="A173" s="2" t="s">
        <v>53</v>
      </c>
      <c r="B173" s="2" t="s">
        <v>30</v>
      </c>
      <c r="C173" s="2" t="s">
        <v>42</v>
      </c>
      <c r="D173" s="2" t="n">
        <v>1162</v>
      </c>
      <c r="E173" s="2" t="n">
        <v>112</v>
      </c>
      <c r="F173" s="18" t="n">
        <v>7161.6</v>
      </c>
    </row>
    <row r="174" customFormat="false" ht="15" hidden="false" customHeight="false" outlineLevel="0" collapsed="false">
      <c r="A174" s="2" t="s">
        <v>53</v>
      </c>
      <c r="B174" s="2" t="s">
        <v>30</v>
      </c>
      <c r="C174" s="2" t="s">
        <v>43</v>
      </c>
      <c r="D174" s="2" t="n">
        <v>1007</v>
      </c>
      <c r="E174" s="2" t="n">
        <v>27</v>
      </c>
      <c r="F174" s="18" t="n">
        <v>1526.85</v>
      </c>
    </row>
    <row r="175" customFormat="false" ht="15" hidden="false" customHeight="false" outlineLevel="0" collapsed="false">
      <c r="A175" s="2" t="s">
        <v>53</v>
      </c>
      <c r="B175" s="2" t="s">
        <v>30</v>
      </c>
      <c r="C175" s="2" t="s">
        <v>44</v>
      </c>
      <c r="D175" s="2" t="n">
        <v>169</v>
      </c>
      <c r="E175" s="2" t="n">
        <v>5</v>
      </c>
      <c r="F175" s="18" t="n">
        <v>423.51</v>
      </c>
    </row>
    <row r="176" customFormat="false" ht="15" hidden="false" customHeight="false" outlineLevel="0" collapsed="false">
      <c r="A176" s="2" t="s">
        <v>53</v>
      </c>
      <c r="B176" s="2" t="s">
        <v>31</v>
      </c>
      <c r="C176" s="2" t="s">
        <v>42</v>
      </c>
      <c r="D176" s="2" t="n">
        <v>286</v>
      </c>
      <c r="E176" s="2" t="n">
        <v>15</v>
      </c>
      <c r="F176" s="18" t="n">
        <v>823.41</v>
      </c>
    </row>
    <row r="177" customFormat="false" ht="15" hidden="false" customHeight="false" outlineLevel="0" collapsed="false">
      <c r="A177" s="2" t="s">
        <v>53</v>
      </c>
      <c r="B177" s="2" t="s">
        <v>31</v>
      </c>
      <c r="C177" s="2" t="s">
        <v>43</v>
      </c>
      <c r="D177" s="2" t="n">
        <v>202</v>
      </c>
      <c r="E177" s="2" t="n">
        <v>5</v>
      </c>
      <c r="F177" s="18" t="n">
        <v>255.84</v>
      </c>
    </row>
    <row r="178" customFormat="false" ht="15" hidden="false" customHeight="false" outlineLevel="0" collapsed="false">
      <c r="A178" s="2" t="s">
        <v>53</v>
      </c>
      <c r="B178" s="2" t="s">
        <v>31</v>
      </c>
      <c r="C178" s="2" t="s">
        <v>44</v>
      </c>
      <c r="D178" s="2" t="n">
        <v>37</v>
      </c>
      <c r="E178" s="2" t="n">
        <v>1</v>
      </c>
      <c r="F178" s="18" t="n">
        <v>95.88</v>
      </c>
    </row>
    <row r="179" customFormat="false" ht="15" hidden="false" customHeight="false" outlineLevel="0" collapsed="false">
      <c r="A179" s="2" t="s">
        <v>53</v>
      </c>
      <c r="B179" s="2" t="s">
        <v>32</v>
      </c>
      <c r="C179" s="2" t="s">
        <v>42</v>
      </c>
      <c r="D179" s="2" t="n">
        <v>632</v>
      </c>
      <c r="E179" s="2" t="n">
        <v>21</v>
      </c>
      <c r="F179" s="18" t="n">
        <v>1454.58</v>
      </c>
    </row>
    <row r="180" customFormat="false" ht="15" hidden="false" customHeight="false" outlineLevel="0" collapsed="false">
      <c r="A180" s="2" t="s">
        <v>53</v>
      </c>
      <c r="B180" s="2" t="s">
        <v>32</v>
      </c>
      <c r="C180" s="2" t="s">
        <v>43</v>
      </c>
      <c r="D180" s="2" t="n">
        <v>527</v>
      </c>
      <c r="E180" s="2" t="n">
        <v>4</v>
      </c>
      <c r="F180" s="18" t="n">
        <v>159.96</v>
      </c>
    </row>
    <row r="181" customFormat="false" ht="15" hidden="false" customHeight="false" outlineLevel="0" collapsed="false">
      <c r="A181" s="2" t="s">
        <v>53</v>
      </c>
      <c r="B181" s="2" t="s">
        <v>32</v>
      </c>
      <c r="C181" s="2" t="s">
        <v>44</v>
      </c>
      <c r="D181" s="2" t="n">
        <v>95</v>
      </c>
      <c r="E181" s="2" t="n">
        <v>3</v>
      </c>
      <c r="F181" s="18" t="n">
        <v>175.86</v>
      </c>
    </row>
    <row r="182" customFormat="false" ht="15" hidden="false" customHeight="false" outlineLevel="0" collapsed="false">
      <c r="A182" s="2" t="s">
        <v>54</v>
      </c>
      <c r="B182" s="2" t="s">
        <v>27</v>
      </c>
      <c r="C182" s="2" t="s">
        <v>42</v>
      </c>
      <c r="D182" s="2" t="n">
        <v>815</v>
      </c>
      <c r="E182" s="2" t="n">
        <v>40</v>
      </c>
      <c r="F182" s="18" t="n">
        <v>2605.62</v>
      </c>
    </row>
    <row r="183" customFormat="false" ht="15" hidden="false" customHeight="false" outlineLevel="0" collapsed="false">
      <c r="A183" s="2" t="s">
        <v>54</v>
      </c>
      <c r="B183" s="2" t="s">
        <v>27</v>
      </c>
      <c r="C183" s="2" t="s">
        <v>43</v>
      </c>
      <c r="D183" s="2" t="n">
        <v>598</v>
      </c>
      <c r="E183" s="2" t="n">
        <v>13</v>
      </c>
      <c r="F183" s="18" t="n">
        <v>631.65</v>
      </c>
    </row>
    <row r="184" customFormat="false" ht="15" hidden="false" customHeight="false" outlineLevel="0" collapsed="false">
      <c r="A184" s="2" t="s">
        <v>54</v>
      </c>
      <c r="B184" s="2" t="s">
        <v>27</v>
      </c>
      <c r="C184" s="2" t="s">
        <v>44</v>
      </c>
      <c r="D184" s="2" t="n">
        <v>96</v>
      </c>
      <c r="E184" s="2" t="n">
        <v>6</v>
      </c>
      <c r="F184" s="18" t="n">
        <v>463.5</v>
      </c>
    </row>
    <row r="185" customFormat="false" ht="15" hidden="false" customHeight="false" outlineLevel="0" collapsed="false">
      <c r="A185" s="2" t="s">
        <v>54</v>
      </c>
      <c r="B185" s="2" t="s">
        <v>28</v>
      </c>
      <c r="C185" s="2" t="s">
        <v>42</v>
      </c>
      <c r="D185" s="2" t="n">
        <v>446</v>
      </c>
      <c r="E185" s="2" t="n">
        <v>30</v>
      </c>
      <c r="F185" s="18" t="n">
        <v>1758.6</v>
      </c>
    </row>
    <row r="186" customFormat="false" ht="15" hidden="false" customHeight="false" outlineLevel="0" collapsed="false">
      <c r="A186" s="2" t="s">
        <v>54</v>
      </c>
      <c r="B186" s="2" t="s">
        <v>28</v>
      </c>
      <c r="C186" s="2" t="s">
        <v>43</v>
      </c>
      <c r="D186" s="2" t="n">
        <v>316</v>
      </c>
      <c r="E186" s="2" t="n">
        <v>9</v>
      </c>
      <c r="F186" s="18" t="n">
        <v>527.58</v>
      </c>
    </row>
    <row r="187" customFormat="false" ht="15" hidden="false" customHeight="false" outlineLevel="0" collapsed="false">
      <c r="A187" s="2" t="s">
        <v>54</v>
      </c>
      <c r="B187" s="2" t="s">
        <v>28</v>
      </c>
      <c r="C187" s="2" t="s">
        <v>44</v>
      </c>
      <c r="D187" s="2" t="n">
        <v>62</v>
      </c>
      <c r="E187" s="2" t="n">
        <v>4</v>
      </c>
      <c r="F187" s="18" t="n">
        <v>327.63</v>
      </c>
    </row>
    <row r="188" customFormat="false" ht="15" hidden="false" customHeight="false" outlineLevel="0" collapsed="false">
      <c r="A188" s="2" t="s">
        <v>54</v>
      </c>
      <c r="B188" s="2" t="s">
        <v>29</v>
      </c>
      <c r="C188" s="2" t="s">
        <v>42</v>
      </c>
      <c r="D188" s="2" t="n">
        <v>1990</v>
      </c>
      <c r="E188" s="2" t="n">
        <v>130</v>
      </c>
      <c r="F188" s="18" t="n">
        <v>8552.1</v>
      </c>
    </row>
    <row r="189" customFormat="false" ht="15" hidden="false" customHeight="false" outlineLevel="0" collapsed="false">
      <c r="A189" s="2" t="s">
        <v>54</v>
      </c>
      <c r="B189" s="2" t="s">
        <v>29</v>
      </c>
      <c r="C189" s="2" t="s">
        <v>43</v>
      </c>
      <c r="D189" s="2" t="n">
        <v>1506</v>
      </c>
      <c r="E189" s="2" t="n">
        <v>38</v>
      </c>
      <c r="F189" s="18" t="n">
        <v>2078.52</v>
      </c>
    </row>
    <row r="190" customFormat="false" ht="15" hidden="false" customHeight="false" outlineLevel="0" collapsed="false">
      <c r="A190" s="2" t="s">
        <v>54</v>
      </c>
      <c r="B190" s="2" t="s">
        <v>29</v>
      </c>
      <c r="C190" s="2" t="s">
        <v>44</v>
      </c>
      <c r="D190" s="2" t="n">
        <v>234</v>
      </c>
      <c r="E190" s="2" t="n">
        <v>14</v>
      </c>
      <c r="F190" s="18" t="n">
        <v>1006.98</v>
      </c>
    </row>
    <row r="191" customFormat="false" ht="15" hidden="false" customHeight="false" outlineLevel="0" collapsed="false">
      <c r="A191" s="2" t="s">
        <v>54</v>
      </c>
      <c r="B191" s="2" t="s">
        <v>30</v>
      </c>
      <c r="C191" s="2" t="s">
        <v>42</v>
      </c>
      <c r="D191" s="2" t="n">
        <v>1224</v>
      </c>
      <c r="E191" s="2" t="n">
        <v>86</v>
      </c>
      <c r="F191" s="18" t="n">
        <v>5618.85</v>
      </c>
    </row>
    <row r="192" customFormat="false" ht="15" hidden="false" customHeight="false" outlineLevel="0" collapsed="false">
      <c r="A192" s="2" t="s">
        <v>54</v>
      </c>
      <c r="B192" s="2" t="s">
        <v>30</v>
      </c>
      <c r="C192" s="2" t="s">
        <v>43</v>
      </c>
      <c r="D192" s="2" t="n">
        <v>862</v>
      </c>
      <c r="E192" s="2" t="n">
        <v>25</v>
      </c>
      <c r="F192" s="18" t="n">
        <v>1502.76</v>
      </c>
    </row>
    <row r="193" customFormat="false" ht="15" hidden="false" customHeight="false" outlineLevel="0" collapsed="false">
      <c r="A193" s="2" t="s">
        <v>54</v>
      </c>
      <c r="B193" s="2" t="s">
        <v>30</v>
      </c>
      <c r="C193" s="2" t="s">
        <v>44</v>
      </c>
      <c r="D193" s="2" t="n">
        <v>175</v>
      </c>
      <c r="E193" s="2" t="n">
        <v>5</v>
      </c>
      <c r="F193" s="18" t="n">
        <v>311.73</v>
      </c>
    </row>
    <row r="194" customFormat="false" ht="15" hidden="false" customHeight="false" outlineLevel="0" collapsed="false">
      <c r="A194" s="2" t="s">
        <v>54</v>
      </c>
      <c r="B194" s="2" t="s">
        <v>31</v>
      </c>
      <c r="C194" s="2" t="s">
        <v>42</v>
      </c>
      <c r="D194" s="2" t="n">
        <v>237</v>
      </c>
      <c r="E194" s="2" t="n">
        <v>15</v>
      </c>
      <c r="F194" s="18" t="n">
        <v>823.41</v>
      </c>
    </row>
    <row r="195" customFormat="false" ht="15" hidden="false" customHeight="false" outlineLevel="0" collapsed="false">
      <c r="A195" s="2" t="s">
        <v>54</v>
      </c>
      <c r="B195" s="2" t="s">
        <v>31</v>
      </c>
      <c r="C195" s="2" t="s">
        <v>43</v>
      </c>
      <c r="D195" s="2" t="n">
        <v>192</v>
      </c>
      <c r="E195" s="2" t="n">
        <v>1</v>
      </c>
      <c r="F195" s="18" t="n">
        <v>39.99</v>
      </c>
    </row>
    <row r="196" customFormat="false" ht="15" hidden="false" customHeight="false" outlineLevel="0" collapsed="false">
      <c r="A196" s="2" t="s">
        <v>54</v>
      </c>
      <c r="B196" s="2" t="s">
        <v>31</v>
      </c>
      <c r="C196" s="2" t="s">
        <v>44</v>
      </c>
      <c r="D196" s="2" t="n">
        <v>38</v>
      </c>
      <c r="E196" s="2" t="n">
        <v>1</v>
      </c>
      <c r="F196" s="18" t="n">
        <v>39.99</v>
      </c>
    </row>
    <row r="197" customFormat="false" ht="15" hidden="false" customHeight="false" outlineLevel="0" collapsed="false">
      <c r="A197" s="2" t="s">
        <v>54</v>
      </c>
      <c r="B197" s="2" t="s">
        <v>32</v>
      </c>
      <c r="C197" s="2" t="s">
        <v>42</v>
      </c>
      <c r="D197" s="2" t="n">
        <v>671</v>
      </c>
      <c r="E197" s="2" t="n">
        <v>22</v>
      </c>
      <c r="F197" s="18" t="n">
        <v>1494.57</v>
      </c>
    </row>
    <row r="198" customFormat="false" ht="15" hidden="false" customHeight="false" outlineLevel="0" collapsed="false">
      <c r="A198" s="2" t="s">
        <v>54</v>
      </c>
      <c r="B198" s="2" t="s">
        <v>32</v>
      </c>
      <c r="C198" s="2" t="s">
        <v>43</v>
      </c>
      <c r="D198" s="2" t="n">
        <v>501</v>
      </c>
      <c r="E198" s="2" t="n">
        <v>7</v>
      </c>
      <c r="F198" s="18" t="n">
        <v>447.6</v>
      </c>
    </row>
    <row r="199" customFormat="false" ht="15" hidden="false" customHeight="false" outlineLevel="0" collapsed="false">
      <c r="A199" s="2" t="s">
        <v>54</v>
      </c>
      <c r="B199" s="2" t="s">
        <v>32</v>
      </c>
      <c r="C199" s="2" t="s">
        <v>44</v>
      </c>
      <c r="D199" s="2" t="n">
        <v>83</v>
      </c>
      <c r="E199" s="2" t="n">
        <v>1</v>
      </c>
      <c r="F199" s="18" t="n">
        <v>39.99</v>
      </c>
    </row>
    <row r="200" customFormat="false" ht="15" hidden="false" customHeight="false" outlineLevel="0" collapsed="false">
      <c r="A200" s="2" t="s">
        <v>55</v>
      </c>
      <c r="B200" s="2" t="s">
        <v>27</v>
      </c>
      <c r="C200" s="2" t="s">
        <v>42</v>
      </c>
      <c r="D200" s="2" t="n">
        <v>803</v>
      </c>
      <c r="E200" s="2" t="n">
        <v>49</v>
      </c>
      <c r="F200" s="18" t="n">
        <v>3077.31</v>
      </c>
    </row>
    <row r="201" customFormat="false" ht="15" hidden="false" customHeight="false" outlineLevel="0" collapsed="false">
      <c r="A201" s="2" t="s">
        <v>55</v>
      </c>
      <c r="B201" s="2" t="s">
        <v>27</v>
      </c>
      <c r="C201" s="2" t="s">
        <v>43</v>
      </c>
      <c r="D201" s="2" t="n">
        <v>698</v>
      </c>
      <c r="E201" s="2" t="n">
        <v>20</v>
      </c>
      <c r="F201" s="18" t="n">
        <v>1135.14</v>
      </c>
    </row>
    <row r="202" customFormat="false" ht="15" hidden="false" customHeight="false" outlineLevel="0" collapsed="false">
      <c r="A202" s="2" t="s">
        <v>55</v>
      </c>
      <c r="B202" s="2" t="s">
        <v>27</v>
      </c>
      <c r="C202" s="2" t="s">
        <v>44</v>
      </c>
      <c r="D202" s="2" t="n">
        <v>102</v>
      </c>
      <c r="E202" s="2" t="n">
        <v>3</v>
      </c>
      <c r="F202" s="18" t="n">
        <v>287.64</v>
      </c>
    </row>
    <row r="203" customFormat="false" ht="15" hidden="false" customHeight="false" outlineLevel="0" collapsed="false">
      <c r="A203" s="2" t="s">
        <v>55</v>
      </c>
      <c r="B203" s="2" t="s">
        <v>28</v>
      </c>
      <c r="C203" s="2" t="s">
        <v>42</v>
      </c>
      <c r="D203" s="2" t="n">
        <v>456</v>
      </c>
      <c r="E203" s="2" t="n">
        <v>44</v>
      </c>
      <c r="F203" s="18" t="n">
        <v>2542.02</v>
      </c>
    </row>
    <row r="204" customFormat="false" ht="15" hidden="false" customHeight="false" outlineLevel="0" collapsed="false">
      <c r="A204" s="2" t="s">
        <v>55</v>
      </c>
      <c r="B204" s="2" t="s">
        <v>28</v>
      </c>
      <c r="C204" s="2" t="s">
        <v>43</v>
      </c>
      <c r="D204" s="2" t="n">
        <v>360</v>
      </c>
      <c r="E204" s="2" t="n">
        <v>8</v>
      </c>
      <c r="F204" s="18" t="n">
        <v>487.59</v>
      </c>
    </row>
    <row r="205" customFormat="false" ht="15" hidden="false" customHeight="false" outlineLevel="0" collapsed="false">
      <c r="A205" s="2" t="s">
        <v>55</v>
      </c>
      <c r="B205" s="2" t="s">
        <v>28</v>
      </c>
      <c r="C205" s="2" t="s">
        <v>44</v>
      </c>
      <c r="D205" s="2" t="n">
        <v>70</v>
      </c>
      <c r="E205" s="2" t="n">
        <v>1</v>
      </c>
      <c r="F205" s="18" t="n">
        <v>39.99</v>
      </c>
    </row>
    <row r="206" customFormat="false" ht="15" hidden="false" customHeight="false" outlineLevel="0" collapsed="false">
      <c r="A206" s="2" t="s">
        <v>55</v>
      </c>
      <c r="B206" s="2" t="s">
        <v>29</v>
      </c>
      <c r="C206" s="2" t="s">
        <v>42</v>
      </c>
      <c r="D206" s="2" t="n">
        <v>2194</v>
      </c>
      <c r="E206" s="2" t="n">
        <v>140</v>
      </c>
      <c r="F206" s="18" t="n">
        <v>8784.33</v>
      </c>
    </row>
    <row r="207" customFormat="false" ht="15" hidden="false" customHeight="false" outlineLevel="0" collapsed="false">
      <c r="A207" s="2" t="s">
        <v>55</v>
      </c>
      <c r="B207" s="2" t="s">
        <v>29</v>
      </c>
      <c r="C207" s="2" t="s">
        <v>43</v>
      </c>
      <c r="D207" s="2" t="n">
        <v>1744</v>
      </c>
      <c r="E207" s="2" t="n">
        <v>35</v>
      </c>
      <c r="F207" s="18" t="n">
        <v>2517.45</v>
      </c>
    </row>
    <row r="208" customFormat="false" ht="15" hidden="false" customHeight="false" outlineLevel="0" collapsed="false">
      <c r="A208" s="2" t="s">
        <v>55</v>
      </c>
      <c r="B208" s="2" t="s">
        <v>29</v>
      </c>
      <c r="C208" s="2" t="s">
        <v>44</v>
      </c>
      <c r="D208" s="2" t="n">
        <v>292</v>
      </c>
      <c r="E208" s="2" t="n">
        <v>13</v>
      </c>
      <c r="F208" s="18" t="n">
        <v>687.54</v>
      </c>
    </row>
    <row r="209" customFormat="false" ht="15" hidden="false" customHeight="false" outlineLevel="0" collapsed="false">
      <c r="A209" s="2" t="s">
        <v>55</v>
      </c>
      <c r="B209" s="2" t="s">
        <v>30</v>
      </c>
      <c r="C209" s="2" t="s">
        <v>42</v>
      </c>
      <c r="D209" s="2" t="n">
        <v>1243</v>
      </c>
      <c r="E209" s="2" t="n">
        <v>108</v>
      </c>
      <c r="F209" s="18" t="n">
        <v>6442.74</v>
      </c>
    </row>
    <row r="210" customFormat="false" ht="15" hidden="false" customHeight="false" outlineLevel="0" collapsed="false">
      <c r="A210" s="2" t="s">
        <v>55</v>
      </c>
      <c r="B210" s="2" t="s">
        <v>30</v>
      </c>
      <c r="C210" s="2" t="s">
        <v>43</v>
      </c>
      <c r="D210" s="2" t="n">
        <v>1029</v>
      </c>
      <c r="E210" s="2" t="n">
        <v>26</v>
      </c>
      <c r="F210" s="18" t="n">
        <v>1319.19</v>
      </c>
    </row>
    <row r="211" customFormat="false" ht="15" hidden="false" customHeight="false" outlineLevel="0" collapsed="false">
      <c r="A211" s="2" t="s">
        <v>55</v>
      </c>
      <c r="B211" s="2" t="s">
        <v>30</v>
      </c>
      <c r="C211" s="2" t="s">
        <v>44</v>
      </c>
      <c r="D211" s="2" t="n">
        <v>179</v>
      </c>
      <c r="E211" s="2" t="n">
        <v>12</v>
      </c>
      <c r="F211" s="18" t="n">
        <v>759.33</v>
      </c>
    </row>
    <row r="212" customFormat="false" ht="15" hidden="false" customHeight="false" outlineLevel="0" collapsed="false">
      <c r="A212" s="2" t="s">
        <v>55</v>
      </c>
      <c r="B212" s="2" t="s">
        <v>31</v>
      </c>
      <c r="C212" s="2" t="s">
        <v>42</v>
      </c>
      <c r="D212" s="2" t="n">
        <v>276</v>
      </c>
      <c r="E212" s="2" t="n">
        <v>18</v>
      </c>
      <c r="F212" s="18" t="n">
        <v>1222.83</v>
      </c>
    </row>
    <row r="213" customFormat="false" ht="15" hidden="false" customHeight="false" outlineLevel="0" collapsed="false">
      <c r="A213" s="2" t="s">
        <v>55</v>
      </c>
      <c r="B213" s="2" t="s">
        <v>31</v>
      </c>
      <c r="C213" s="2" t="s">
        <v>43</v>
      </c>
      <c r="D213" s="2" t="n">
        <v>229</v>
      </c>
      <c r="E213" s="2" t="n">
        <v>5</v>
      </c>
      <c r="F213" s="18" t="n">
        <v>367.62</v>
      </c>
    </row>
    <row r="214" customFormat="false" ht="15" hidden="false" customHeight="false" outlineLevel="0" collapsed="false">
      <c r="A214" s="2" t="s">
        <v>55</v>
      </c>
      <c r="B214" s="2" t="s">
        <v>31</v>
      </c>
      <c r="C214" s="2" t="s">
        <v>44</v>
      </c>
      <c r="D214" s="2" t="n">
        <v>35</v>
      </c>
      <c r="E214" s="2" t="n">
        <v>2</v>
      </c>
      <c r="F214" s="18" t="n">
        <v>191.76</v>
      </c>
    </row>
    <row r="215" customFormat="false" ht="15" hidden="false" customHeight="false" outlineLevel="0" collapsed="false">
      <c r="A215" s="2" t="s">
        <v>55</v>
      </c>
      <c r="B215" s="2" t="s">
        <v>32</v>
      </c>
      <c r="C215" s="2" t="s">
        <v>42</v>
      </c>
      <c r="D215" s="2" t="n">
        <v>694</v>
      </c>
      <c r="E215" s="2" t="n">
        <v>27</v>
      </c>
      <c r="F215" s="18" t="n">
        <v>1638.63</v>
      </c>
    </row>
    <row r="216" customFormat="false" ht="15" hidden="false" customHeight="false" outlineLevel="0" collapsed="false">
      <c r="A216" s="2" t="s">
        <v>55</v>
      </c>
      <c r="B216" s="2" t="s">
        <v>32</v>
      </c>
      <c r="C216" s="2" t="s">
        <v>43</v>
      </c>
      <c r="D216" s="2" t="n">
        <v>542</v>
      </c>
      <c r="E216" s="2" t="n">
        <v>9</v>
      </c>
      <c r="F216" s="18" t="n">
        <v>471.69</v>
      </c>
    </row>
    <row r="217" customFormat="false" ht="15" hidden="false" customHeight="false" outlineLevel="0" collapsed="false">
      <c r="A217" s="2" t="s">
        <v>55</v>
      </c>
      <c r="B217" s="2" t="s">
        <v>32</v>
      </c>
      <c r="C217" s="2" t="s">
        <v>44</v>
      </c>
      <c r="D217" s="2" t="n">
        <v>87</v>
      </c>
      <c r="E217" s="2" t="n">
        <v>2</v>
      </c>
      <c r="F217" s="18" t="n">
        <v>79.98</v>
      </c>
    </row>
    <row r="218" customFormat="false" ht="15" hidden="false" customHeight="false" outlineLevel="0" collapsed="false">
      <c r="A218" s="2" t="s">
        <v>56</v>
      </c>
      <c r="B218" s="2" t="s">
        <v>27</v>
      </c>
      <c r="C218" s="2" t="s">
        <v>42</v>
      </c>
      <c r="D218" s="2" t="n">
        <v>858</v>
      </c>
      <c r="E218" s="2" t="n">
        <v>69</v>
      </c>
      <c r="F218" s="18" t="n">
        <v>4436.01</v>
      </c>
    </row>
    <row r="219" customFormat="false" ht="15" hidden="false" customHeight="false" outlineLevel="0" collapsed="false">
      <c r="A219" s="2" t="s">
        <v>56</v>
      </c>
      <c r="B219" s="2" t="s">
        <v>27</v>
      </c>
      <c r="C219" s="2" t="s">
        <v>43</v>
      </c>
      <c r="D219" s="2" t="n">
        <v>711</v>
      </c>
      <c r="E219" s="2" t="n">
        <v>24</v>
      </c>
      <c r="F219" s="18" t="n">
        <v>1462.77</v>
      </c>
    </row>
    <row r="220" customFormat="false" ht="15" hidden="false" customHeight="false" outlineLevel="0" collapsed="false">
      <c r="A220" s="2" t="s">
        <v>56</v>
      </c>
      <c r="B220" s="2" t="s">
        <v>27</v>
      </c>
      <c r="C220" s="2" t="s">
        <v>44</v>
      </c>
      <c r="D220" s="2" t="n">
        <v>116</v>
      </c>
      <c r="E220" s="2" t="n">
        <v>4</v>
      </c>
      <c r="F220" s="18" t="n">
        <v>215.85</v>
      </c>
    </row>
    <row r="221" customFormat="false" ht="15" hidden="false" customHeight="false" outlineLevel="0" collapsed="false">
      <c r="A221" s="2" t="s">
        <v>56</v>
      </c>
      <c r="B221" s="2" t="s">
        <v>28</v>
      </c>
      <c r="C221" s="2" t="s">
        <v>42</v>
      </c>
      <c r="D221" s="2" t="n">
        <v>451</v>
      </c>
      <c r="E221" s="2" t="n">
        <v>41</v>
      </c>
      <c r="F221" s="18" t="n">
        <v>2366.16</v>
      </c>
    </row>
    <row r="222" customFormat="false" ht="15" hidden="false" customHeight="false" outlineLevel="0" collapsed="false">
      <c r="A222" s="2" t="s">
        <v>56</v>
      </c>
      <c r="B222" s="2" t="s">
        <v>28</v>
      </c>
      <c r="C222" s="2" t="s">
        <v>43</v>
      </c>
      <c r="D222" s="2" t="n">
        <v>362</v>
      </c>
      <c r="E222" s="2" t="n">
        <v>12</v>
      </c>
      <c r="F222" s="18" t="n">
        <v>815.22</v>
      </c>
    </row>
    <row r="223" customFormat="false" ht="15" hidden="false" customHeight="false" outlineLevel="0" collapsed="false">
      <c r="A223" s="2" t="s">
        <v>56</v>
      </c>
      <c r="B223" s="2" t="s">
        <v>28</v>
      </c>
      <c r="C223" s="2" t="s">
        <v>44</v>
      </c>
      <c r="D223" s="2" t="n">
        <v>64</v>
      </c>
      <c r="E223" s="2" t="n">
        <v>3</v>
      </c>
      <c r="F223" s="18" t="n">
        <v>119.97</v>
      </c>
    </row>
    <row r="224" customFormat="false" ht="15" hidden="false" customHeight="false" outlineLevel="0" collapsed="false">
      <c r="A224" s="2" t="s">
        <v>56</v>
      </c>
      <c r="B224" s="2" t="s">
        <v>29</v>
      </c>
      <c r="C224" s="2" t="s">
        <v>42</v>
      </c>
      <c r="D224" s="2" t="n">
        <v>2218</v>
      </c>
      <c r="E224" s="2" t="n">
        <v>143</v>
      </c>
      <c r="F224" s="18" t="n">
        <v>8233.62</v>
      </c>
    </row>
    <row r="225" customFormat="false" ht="15" hidden="false" customHeight="false" outlineLevel="0" collapsed="false">
      <c r="A225" s="2" t="s">
        <v>56</v>
      </c>
      <c r="B225" s="2" t="s">
        <v>29</v>
      </c>
      <c r="C225" s="2" t="s">
        <v>43</v>
      </c>
      <c r="D225" s="2" t="n">
        <v>1741</v>
      </c>
      <c r="E225" s="2" t="n">
        <v>40</v>
      </c>
      <c r="F225" s="18" t="n">
        <v>2437.95</v>
      </c>
    </row>
    <row r="226" customFormat="false" ht="15" hidden="false" customHeight="false" outlineLevel="0" collapsed="false">
      <c r="A226" s="2" t="s">
        <v>56</v>
      </c>
      <c r="B226" s="2" t="s">
        <v>29</v>
      </c>
      <c r="C226" s="2" t="s">
        <v>44</v>
      </c>
      <c r="D226" s="2" t="n">
        <v>308</v>
      </c>
      <c r="E226" s="2" t="n">
        <v>10</v>
      </c>
      <c r="F226" s="18" t="n">
        <v>511.68</v>
      </c>
    </row>
    <row r="227" customFormat="false" ht="15" hidden="false" customHeight="false" outlineLevel="0" collapsed="false">
      <c r="A227" s="2" t="s">
        <v>56</v>
      </c>
      <c r="B227" s="2" t="s">
        <v>30</v>
      </c>
      <c r="C227" s="2" t="s">
        <v>42</v>
      </c>
      <c r="D227" s="2" t="n">
        <v>1337</v>
      </c>
      <c r="E227" s="2" t="n">
        <v>120</v>
      </c>
      <c r="F227" s="18" t="n">
        <v>7872.75</v>
      </c>
    </row>
    <row r="228" customFormat="false" ht="15" hidden="false" customHeight="false" outlineLevel="0" collapsed="false">
      <c r="A228" s="2" t="s">
        <v>56</v>
      </c>
      <c r="B228" s="2" t="s">
        <v>30</v>
      </c>
      <c r="C228" s="2" t="s">
        <v>43</v>
      </c>
      <c r="D228" s="2" t="n">
        <v>1001</v>
      </c>
      <c r="E228" s="2" t="n">
        <v>35</v>
      </c>
      <c r="F228" s="18" t="n">
        <v>2238</v>
      </c>
    </row>
    <row r="229" customFormat="false" ht="15" hidden="false" customHeight="false" outlineLevel="0" collapsed="false">
      <c r="A229" s="2" t="s">
        <v>56</v>
      </c>
      <c r="B229" s="2" t="s">
        <v>30</v>
      </c>
      <c r="C229" s="2" t="s">
        <v>44</v>
      </c>
      <c r="D229" s="2" t="n">
        <v>173</v>
      </c>
      <c r="E229" s="2" t="n">
        <v>4</v>
      </c>
      <c r="F229" s="18" t="n">
        <v>327.63</v>
      </c>
    </row>
    <row r="230" customFormat="false" ht="15" hidden="false" customHeight="false" outlineLevel="0" collapsed="false">
      <c r="A230" s="2" t="s">
        <v>56</v>
      </c>
      <c r="B230" s="2" t="s">
        <v>31</v>
      </c>
      <c r="C230" s="2" t="s">
        <v>42</v>
      </c>
      <c r="D230" s="2" t="n">
        <v>289</v>
      </c>
      <c r="E230" s="2" t="n">
        <v>22</v>
      </c>
      <c r="F230" s="18" t="n">
        <v>1271.01</v>
      </c>
    </row>
    <row r="231" customFormat="false" ht="15" hidden="false" customHeight="false" outlineLevel="0" collapsed="false">
      <c r="A231" s="2" t="s">
        <v>56</v>
      </c>
      <c r="B231" s="2" t="s">
        <v>31</v>
      </c>
      <c r="C231" s="2" t="s">
        <v>43</v>
      </c>
      <c r="D231" s="2" t="n">
        <v>216</v>
      </c>
      <c r="E231" s="2" t="n">
        <v>8</v>
      </c>
      <c r="F231" s="18" t="n">
        <v>543.48</v>
      </c>
    </row>
    <row r="232" customFormat="false" ht="15" hidden="false" customHeight="false" outlineLevel="0" collapsed="false">
      <c r="A232" s="2" t="s">
        <v>56</v>
      </c>
      <c r="B232" s="2" t="s">
        <v>31</v>
      </c>
      <c r="C232" s="2" t="s">
        <v>44</v>
      </c>
      <c r="D232" s="2" t="n">
        <v>40</v>
      </c>
      <c r="E232" s="2" t="n">
        <v>0</v>
      </c>
      <c r="F232" s="18" t="n">
        <v>0</v>
      </c>
    </row>
    <row r="233" customFormat="false" ht="15" hidden="false" customHeight="false" outlineLevel="0" collapsed="false">
      <c r="A233" s="2" t="s">
        <v>56</v>
      </c>
      <c r="B233" s="2" t="s">
        <v>32</v>
      </c>
      <c r="C233" s="2" t="s">
        <v>42</v>
      </c>
      <c r="D233" s="2" t="n">
        <v>643</v>
      </c>
      <c r="E233" s="2" t="n">
        <v>30</v>
      </c>
      <c r="F233" s="18" t="n">
        <v>1926.27</v>
      </c>
    </row>
    <row r="234" customFormat="false" ht="15" hidden="false" customHeight="false" outlineLevel="0" collapsed="false">
      <c r="A234" s="2" t="s">
        <v>56</v>
      </c>
      <c r="B234" s="2" t="s">
        <v>32</v>
      </c>
      <c r="C234" s="2" t="s">
        <v>43</v>
      </c>
      <c r="D234" s="2" t="n">
        <v>573</v>
      </c>
      <c r="E234" s="2" t="n">
        <v>9</v>
      </c>
      <c r="F234" s="18" t="n">
        <v>695.25</v>
      </c>
    </row>
    <row r="235" customFormat="false" ht="15" hidden="false" customHeight="false" outlineLevel="0" collapsed="false">
      <c r="A235" s="2" t="s">
        <v>56</v>
      </c>
      <c r="B235" s="2" t="s">
        <v>32</v>
      </c>
      <c r="C235" s="2" t="s">
        <v>44</v>
      </c>
      <c r="D235" s="2" t="n">
        <v>101</v>
      </c>
      <c r="E235" s="2" t="n">
        <v>1</v>
      </c>
      <c r="F235" s="18" t="n">
        <v>39.99</v>
      </c>
    </row>
    <row r="236" customFormat="false" ht="15" hidden="false" customHeight="false" outlineLevel="0" collapsed="false">
      <c r="A236" s="2" t="s">
        <v>57</v>
      </c>
      <c r="B236" s="2" t="s">
        <v>27</v>
      </c>
      <c r="C236" s="2" t="s">
        <v>42</v>
      </c>
      <c r="D236" s="2" t="n">
        <v>801</v>
      </c>
      <c r="E236" s="2" t="n">
        <v>55</v>
      </c>
      <c r="F236" s="18" t="n">
        <v>3317.25</v>
      </c>
    </row>
    <row r="237" customFormat="false" ht="15" hidden="false" customHeight="false" outlineLevel="0" collapsed="false">
      <c r="A237" s="2" t="s">
        <v>57</v>
      </c>
      <c r="B237" s="2" t="s">
        <v>27</v>
      </c>
      <c r="C237" s="2" t="s">
        <v>43</v>
      </c>
      <c r="D237" s="2" t="n">
        <v>648</v>
      </c>
      <c r="E237" s="2" t="n">
        <v>21</v>
      </c>
      <c r="F237" s="18" t="n">
        <v>1342.8</v>
      </c>
    </row>
    <row r="238" customFormat="false" ht="15" hidden="false" customHeight="false" outlineLevel="0" collapsed="false">
      <c r="A238" s="2" t="s">
        <v>57</v>
      </c>
      <c r="B238" s="2" t="s">
        <v>27</v>
      </c>
      <c r="C238" s="2" t="s">
        <v>44</v>
      </c>
      <c r="D238" s="2" t="n">
        <v>104</v>
      </c>
      <c r="E238" s="2" t="n">
        <v>4</v>
      </c>
      <c r="F238" s="18" t="n">
        <v>215.85</v>
      </c>
    </row>
    <row r="239" customFormat="false" ht="15" hidden="false" customHeight="false" outlineLevel="0" collapsed="false">
      <c r="A239" s="2" t="s">
        <v>57</v>
      </c>
      <c r="B239" s="2" t="s">
        <v>28</v>
      </c>
      <c r="C239" s="2" t="s">
        <v>42</v>
      </c>
      <c r="D239" s="2" t="n">
        <v>416</v>
      </c>
      <c r="E239" s="2" t="n">
        <v>27</v>
      </c>
      <c r="F239" s="18" t="n">
        <v>1526.85</v>
      </c>
    </row>
    <row r="240" customFormat="false" ht="15" hidden="false" customHeight="false" outlineLevel="0" collapsed="false">
      <c r="A240" s="2" t="s">
        <v>57</v>
      </c>
      <c r="B240" s="2" t="s">
        <v>28</v>
      </c>
      <c r="C240" s="2" t="s">
        <v>43</v>
      </c>
      <c r="D240" s="2" t="n">
        <v>386</v>
      </c>
      <c r="E240" s="2" t="n">
        <v>14</v>
      </c>
      <c r="F240" s="18" t="n">
        <v>783.42</v>
      </c>
    </row>
    <row r="241" customFormat="false" ht="15" hidden="false" customHeight="false" outlineLevel="0" collapsed="false">
      <c r="A241" s="2" t="s">
        <v>57</v>
      </c>
      <c r="B241" s="2" t="s">
        <v>28</v>
      </c>
      <c r="C241" s="2" t="s">
        <v>44</v>
      </c>
      <c r="D241" s="2" t="n">
        <v>66</v>
      </c>
      <c r="E241" s="2" t="n">
        <v>2</v>
      </c>
      <c r="F241" s="18" t="n">
        <v>79.98</v>
      </c>
    </row>
    <row r="242" customFormat="false" ht="15" hidden="false" customHeight="false" outlineLevel="0" collapsed="false">
      <c r="A242" s="2" t="s">
        <v>57</v>
      </c>
      <c r="B242" s="2" t="s">
        <v>29</v>
      </c>
      <c r="C242" s="2" t="s">
        <v>42</v>
      </c>
      <c r="D242" s="2" t="n">
        <v>2074</v>
      </c>
      <c r="E242" s="2" t="n">
        <v>134</v>
      </c>
      <c r="F242" s="18" t="n">
        <v>7817.82</v>
      </c>
    </row>
    <row r="243" customFormat="false" ht="15" hidden="false" customHeight="false" outlineLevel="0" collapsed="false">
      <c r="A243" s="2" t="s">
        <v>57</v>
      </c>
      <c r="B243" s="2" t="s">
        <v>29</v>
      </c>
      <c r="C243" s="2" t="s">
        <v>43</v>
      </c>
      <c r="D243" s="2" t="n">
        <v>1605</v>
      </c>
      <c r="E243" s="2" t="n">
        <v>43</v>
      </c>
      <c r="F243" s="18" t="n">
        <v>1999.02</v>
      </c>
    </row>
    <row r="244" customFormat="false" ht="15" hidden="false" customHeight="false" outlineLevel="0" collapsed="false">
      <c r="A244" s="2" t="s">
        <v>57</v>
      </c>
      <c r="B244" s="2" t="s">
        <v>29</v>
      </c>
      <c r="C244" s="2" t="s">
        <v>44</v>
      </c>
      <c r="D244" s="2" t="n">
        <v>263</v>
      </c>
      <c r="E244" s="2" t="n">
        <v>15</v>
      </c>
      <c r="F244" s="18" t="n">
        <v>823.41</v>
      </c>
    </row>
    <row r="245" customFormat="false" ht="15" hidden="false" customHeight="false" outlineLevel="0" collapsed="false">
      <c r="A245" s="2" t="s">
        <v>57</v>
      </c>
      <c r="B245" s="2" t="s">
        <v>30</v>
      </c>
      <c r="C245" s="2" t="s">
        <v>42</v>
      </c>
      <c r="D245" s="2" t="n">
        <v>1155</v>
      </c>
      <c r="E245" s="2" t="n">
        <v>77</v>
      </c>
      <c r="F245" s="18" t="n">
        <v>4867.71</v>
      </c>
    </row>
    <row r="246" customFormat="false" ht="15" hidden="false" customHeight="false" outlineLevel="0" collapsed="false">
      <c r="A246" s="2" t="s">
        <v>57</v>
      </c>
      <c r="B246" s="2" t="s">
        <v>30</v>
      </c>
      <c r="C246" s="2" t="s">
        <v>43</v>
      </c>
      <c r="D246" s="2" t="n">
        <v>918</v>
      </c>
      <c r="E246" s="2" t="n">
        <v>32</v>
      </c>
      <c r="F246" s="18" t="n">
        <v>1838.58</v>
      </c>
    </row>
    <row r="247" customFormat="false" ht="15" hidden="false" customHeight="false" outlineLevel="0" collapsed="false">
      <c r="A247" s="2" t="s">
        <v>57</v>
      </c>
      <c r="B247" s="2" t="s">
        <v>30</v>
      </c>
      <c r="C247" s="2" t="s">
        <v>44</v>
      </c>
      <c r="D247" s="2" t="n">
        <v>161</v>
      </c>
      <c r="E247" s="2" t="n">
        <v>11</v>
      </c>
      <c r="F247" s="18" t="n">
        <v>663.45</v>
      </c>
    </row>
    <row r="248" customFormat="false" ht="15" hidden="false" customHeight="false" outlineLevel="0" collapsed="false">
      <c r="A248" s="2" t="s">
        <v>57</v>
      </c>
      <c r="B248" s="2" t="s">
        <v>31</v>
      </c>
      <c r="C248" s="2" t="s">
        <v>42</v>
      </c>
      <c r="D248" s="2" t="n">
        <v>260</v>
      </c>
      <c r="E248" s="2" t="n">
        <v>17</v>
      </c>
      <c r="F248" s="18" t="n">
        <v>1182.84</v>
      </c>
    </row>
    <row r="249" customFormat="false" ht="15" hidden="false" customHeight="false" outlineLevel="0" collapsed="false">
      <c r="A249" s="2" t="s">
        <v>57</v>
      </c>
      <c r="B249" s="2" t="s">
        <v>31</v>
      </c>
      <c r="C249" s="2" t="s">
        <v>43</v>
      </c>
      <c r="D249" s="2" t="n">
        <v>210</v>
      </c>
      <c r="E249" s="2" t="n">
        <v>9</v>
      </c>
      <c r="F249" s="18" t="n">
        <v>415.8</v>
      </c>
    </row>
    <row r="250" customFormat="false" ht="15" hidden="false" customHeight="false" outlineLevel="0" collapsed="false">
      <c r="A250" s="2" t="s">
        <v>57</v>
      </c>
      <c r="B250" s="2" t="s">
        <v>31</v>
      </c>
      <c r="C250" s="2" t="s">
        <v>44</v>
      </c>
      <c r="D250" s="2" t="n">
        <v>35</v>
      </c>
      <c r="E250" s="2" t="n">
        <v>2</v>
      </c>
      <c r="F250" s="18" t="n">
        <v>79.98</v>
      </c>
    </row>
    <row r="251" customFormat="false" ht="15" hidden="false" customHeight="false" outlineLevel="0" collapsed="false">
      <c r="A251" s="2" t="s">
        <v>57</v>
      </c>
      <c r="B251" s="2" t="s">
        <v>32</v>
      </c>
      <c r="C251" s="2" t="s">
        <v>42</v>
      </c>
      <c r="D251" s="2" t="n">
        <v>581</v>
      </c>
      <c r="E251" s="2" t="n">
        <v>22</v>
      </c>
      <c r="F251" s="18" t="n">
        <v>1159.23</v>
      </c>
    </row>
    <row r="252" customFormat="false" ht="15" hidden="false" customHeight="false" outlineLevel="0" collapsed="false">
      <c r="A252" s="2" t="s">
        <v>57</v>
      </c>
      <c r="B252" s="2" t="s">
        <v>32</v>
      </c>
      <c r="C252" s="2" t="s">
        <v>43</v>
      </c>
      <c r="D252" s="2" t="n">
        <v>522</v>
      </c>
      <c r="E252" s="2" t="n">
        <v>6</v>
      </c>
      <c r="F252" s="18" t="n">
        <v>295.83</v>
      </c>
    </row>
    <row r="253" customFormat="false" ht="15" hidden="false" customHeight="false" outlineLevel="0" collapsed="false">
      <c r="A253" s="2" t="s">
        <v>57</v>
      </c>
      <c r="B253" s="2" t="s">
        <v>32</v>
      </c>
      <c r="C253" s="2" t="s">
        <v>44</v>
      </c>
      <c r="D253" s="2" t="n">
        <v>89</v>
      </c>
      <c r="E253" s="2" t="n">
        <v>3</v>
      </c>
      <c r="F253" s="18" t="n">
        <v>175.86</v>
      </c>
    </row>
    <row r="254" customFormat="false" ht="15" hidden="false" customHeight="false" outlineLevel="0" collapsed="false">
      <c r="A254" s="2" t="s">
        <v>58</v>
      </c>
      <c r="B254" s="2" t="s">
        <v>27</v>
      </c>
      <c r="C254" s="2" t="s">
        <v>42</v>
      </c>
      <c r="D254" s="2" t="n">
        <v>929</v>
      </c>
      <c r="E254" s="2" t="n">
        <v>59</v>
      </c>
      <c r="F254" s="18" t="n">
        <v>3700.77</v>
      </c>
    </row>
    <row r="255" customFormat="false" ht="15" hidden="false" customHeight="false" outlineLevel="0" collapsed="false">
      <c r="A255" s="2" t="s">
        <v>58</v>
      </c>
      <c r="B255" s="2" t="s">
        <v>27</v>
      </c>
      <c r="C255" s="2" t="s">
        <v>43</v>
      </c>
      <c r="D255" s="2" t="n">
        <v>715</v>
      </c>
      <c r="E255" s="2" t="n">
        <v>16</v>
      </c>
      <c r="F255" s="18" t="n">
        <v>863.4</v>
      </c>
    </row>
    <row r="256" customFormat="false" ht="15" hidden="false" customHeight="false" outlineLevel="0" collapsed="false">
      <c r="A256" s="2" t="s">
        <v>58</v>
      </c>
      <c r="B256" s="2" t="s">
        <v>27</v>
      </c>
      <c r="C256" s="2" t="s">
        <v>44</v>
      </c>
      <c r="D256" s="2" t="n">
        <v>100</v>
      </c>
      <c r="E256" s="2" t="n">
        <v>5</v>
      </c>
      <c r="F256" s="18" t="n">
        <v>311.73</v>
      </c>
    </row>
    <row r="257" customFormat="false" ht="15" hidden="false" customHeight="false" outlineLevel="0" collapsed="false">
      <c r="A257" s="2" t="s">
        <v>58</v>
      </c>
      <c r="B257" s="2" t="s">
        <v>28</v>
      </c>
      <c r="C257" s="2" t="s">
        <v>42</v>
      </c>
      <c r="D257" s="2" t="n">
        <v>496</v>
      </c>
      <c r="E257" s="2" t="n">
        <v>34</v>
      </c>
      <c r="F257" s="18" t="n">
        <v>2086.23</v>
      </c>
    </row>
    <row r="258" customFormat="false" ht="15" hidden="false" customHeight="false" outlineLevel="0" collapsed="false">
      <c r="A258" s="2" t="s">
        <v>58</v>
      </c>
      <c r="B258" s="2" t="s">
        <v>28</v>
      </c>
      <c r="C258" s="2" t="s">
        <v>43</v>
      </c>
      <c r="D258" s="2" t="n">
        <v>385</v>
      </c>
      <c r="E258" s="2" t="n">
        <v>7</v>
      </c>
      <c r="F258" s="18" t="n">
        <v>279.93</v>
      </c>
    </row>
    <row r="259" customFormat="false" ht="15" hidden="false" customHeight="false" outlineLevel="0" collapsed="false">
      <c r="A259" s="2" t="s">
        <v>58</v>
      </c>
      <c r="B259" s="2" t="s">
        <v>28</v>
      </c>
      <c r="C259" s="2" t="s">
        <v>44</v>
      </c>
      <c r="D259" s="2" t="n">
        <v>81</v>
      </c>
      <c r="E259" s="2" t="n">
        <v>6</v>
      </c>
      <c r="F259" s="18" t="n">
        <v>295.83</v>
      </c>
    </row>
    <row r="260" customFormat="false" ht="15" hidden="false" customHeight="false" outlineLevel="0" collapsed="false">
      <c r="A260" s="2" t="s">
        <v>58</v>
      </c>
      <c r="B260" s="2" t="s">
        <v>29</v>
      </c>
      <c r="C260" s="2" t="s">
        <v>42</v>
      </c>
      <c r="D260" s="2" t="n">
        <v>2304</v>
      </c>
      <c r="E260" s="2" t="n">
        <v>140</v>
      </c>
      <c r="F260" s="18" t="n">
        <v>8504.88</v>
      </c>
    </row>
    <row r="261" customFormat="false" ht="15" hidden="false" customHeight="false" outlineLevel="0" collapsed="false">
      <c r="A261" s="2" t="s">
        <v>58</v>
      </c>
      <c r="B261" s="2" t="s">
        <v>29</v>
      </c>
      <c r="C261" s="2" t="s">
        <v>43</v>
      </c>
      <c r="D261" s="2" t="n">
        <v>1789</v>
      </c>
      <c r="E261" s="2" t="n">
        <v>37</v>
      </c>
      <c r="F261" s="18" t="n">
        <v>2262.09</v>
      </c>
    </row>
    <row r="262" customFormat="false" ht="15" hidden="false" customHeight="false" outlineLevel="0" collapsed="false">
      <c r="A262" s="2" t="s">
        <v>58</v>
      </c>
      <c r="B262" s="2" t="s">
        <v>29</v>
      </c>
      <c r="C262" s="2" t="s">
        <v>44</v>
      </c>
      <c r="D262" s="2" t="n">
        <v>334</v>
      </c>
      <c r="E262" s="2" t="n">
        <v>18</v>
      </c>
      <c r="F262" s="18" t="n">
        <v>943.38</v>
      </c>
    </row>
    <row r="263" customFormat="false" ht="15" hidden="false" customHeight="false" outlineLevel="0" collapsed="false">
      <c r="A263" s="2" t="s">
        <v>58</v>
      </c>
      <c r="B263" s="2" t="s">
        <v>30</v>
      </c>
      <c r="C263" s="2" t="s">
        <v>42</v>
      </c>
      <c r="D263" s="2" t="n">
        <v>1347</v>
      </c>
      <c r="E263" s="2" t="n">
        <v>110</v>
      </c>
      <c r="F263" s="18" t="n">
        <v>6187.38</v>
      </c>
    </row>
    <row r="264" customFormat="false" ht="15" hidden="false" customHeight="false" outlineLevel="0" collapsed="false">
      <c r="A264" s="2" t="s">
        <v>58</v>
      </c>
      <c r="B264" s="2" t="s">
        <v>30</v>
      </c>
      <c r="C264" s="2" t="s">
        <v>43</v>
      </c>
      <c r="D264" s="2" t="n">
        <v>1036</v>
      </c>
      <c r="E264" s="2" t="n">
        <v>40</v>
      </c>
      <c r="F264" s="18" t="n">
        <v>2382.06</v>
      </c>
    </row>
    <row r="265" customFormat="false" ht="15" hidden="false" customHeight="false" outlineLevel="0" collapsed="false">
      <c r="A265" s="2" t="s">
        <v>58</v>
      </c>
      <c r="B265" s="2" t="s">
        <v>30</v>
      </c>
      <c r="C265" s="2" t="s">
        <v>44</v>
      </c>
      <c r="D265" s="2" t="n">
        <v>182</v>
      </c>
      <c r="E265" s="2" t="n">
        <v>10</v>
      </c>
      <c r="F265" s="18" t="n">
        <v>511.68</v>
      </c>
    </row>
    <row r="266" customFormat="false" ht="15" hidden="false" customHeight="false" outlineLevel="0" collapsed="false">
      <c r="A266" s="2" t="s">
        <v>58</v>
      </c>
      <c r="B266" s="2" t="s">
        <v>31</v>
      </c>
      <c r="C266" s="2" t="s">
        <v>42</v>
      </c>
      <c r="D266" s="2" t="n">
        <v>323</v>
      </c>
      <c r="E266" s="2" t="n">
        <v>13</v>
      </c>
      <c r="F266" s="18" t="n">
        <v>911.1</v>
      </c>
    </row>
    <row r="267" customFormat="false" ht="15" hidden="false" customHeight="false" outlineLevel="0" collapsed="false">
      <c r="A267" s="2" t="s">
        <v>58</v>
      </c>
      <c r="B267" s="2" t="s">
        <v>31</v>
      </c>
      <c r="C267" s="2" t="s">
        <v>43</v>
      </c>
      <c r="D267" s="2" t="n">
        <v>243</v>
      </c>
      <c r="E267" s="2" t="n">
        <v>12</v>
      </c>
      <c r="F267" s="18" t="n">
        <v>647.55</v>
      </c>
    </row>
    <row r="268" customFormat="false" ht="15" hidden="false" customHeight="false" outlineLevel="0" collapsed="false">
      <c r="A268" s="2" t="s">
        <v>58</v>
      </c>
      <c r="B268" s="2" t="s">
        <v>31</v>
      </c>
      <c r="C268" s="2" t="s">
        <v>44</v>
      </c>
      <c r="D268" s="2" t="n">
        <v>53</v>
      </c>
      <c r="E268" s="2" t="n">
        <v>3</v>
      </c>
      <c r="F268" s="18" t="n">
        <v>175.86</v>
      </c>
    </row>
    <row r="269" customFormat="false" ht="15" hidden="false" customHeight="false" outlineLevel="0" collapsed="false">
      <c r="A269" s="2" t="s">
        <v>58</v>
      </c>
      <c r="B269" s="2" t="s">
        <v>32</v>
      </c>
      <c r="C269" s="2" t="s">
        <v>42</v>
      </c>
      <c r="D269" s="2" t="n">
        <v>741</v>
      </c>
      <c r="E269" s="2" t="n">
        <v>34</v>
      </c>
      <c r="F269" s="18" t="n">
        <v>2142.12</v>
      </c>
    </row>
    <row r="270" customFormat="false" ht="15" hidden="false" customHeight="false" outlineLevel="0" collapsed="false">
      <c r="A270" s="2" t="s">
        <v>58</v>
      </c>
      <c r="B270" s="2" t="s">
        <v>32</v>
      </c>
      <c r="C270" s="2" t="s">
        <v>43</v>
      </c>
      <c r="D270" s="2" t="n">
        <v>626</v>
      </c>
      <c r="E270" s="2" t="n">
        <v>5</v>
      </c>
      <c r="F270" s="18" t="n">
        <v>311.73</v>
      </c>
    </row>
    <row r="271" customFormat="false" ht="15" hidden="false" customHeight="false" outlineLevel="0" collapsed="false">
      <c r="A271" s="2" t="s">
        <v>58</v>
      </c>
      <c r="B271" s="2" t="s">
        <v>32</v>
      </c>
      <c r="C271" s="2" t="s">
        <v>44</v>
      </c>
      <c r="D271" s="2" t="n">
        <v>98</v>
      </c>
      <c r="E271" s="2" t="n">
        <v>2</v>
      </c>
      <c r="F271" s="18" t="n">
        <v>135.87</v>
      </c>
    </row>
    <row r="272" customFormat="false" ht="15" hidden="false" customHeight="false" outlineLevel="0" collapsed="false">
      <c r="A272" s="2" t="s">
        <v>59</v>
      </c>
      <c r="B272" s="2" t="s">
        <v>27</v>
      </c>
      <c r="C272" s="2" t="s">
        <v>42</v>
      </c>
      <c r="D272" s="2" t="n">
        <v>917</v>
      </c>
      <c r="E272" s="2" t="n">
        <v>68</v>
      </c>
      <c r="F272" s="18" t="n">
        <v>4451.91</v>
      </c>
    </row>
    <row r="273" customFormat="false" ht="15" hidden="false" customHeight="false" outlineLevel="0" collapsed="false">
      <c r="A273" s="2" t="s">
        <v>59</v>
      </c>
      <c r="B273" s="2" t="s">
        <v>27</v>
      </c>
      <c r="C273" s="2" t="s">
        <v>43</v>
      </c>
      <c r="D273" s="2" t="n">
        <v>749</v>
      </c>
      <c r="E273" s="2" t="n">
        <v>22</v>
      </c>
      <c r="F273" s="18" t="n">
        <v>1271.01</v>
      </c>
    </row>
    <row r="274" customFormat="false" ht="15" hidden="false" customHeight="false" outlineLevel="0" collapsed="false">
      <c r="A274" s="2" t="s">
        <v>59</v>
      </c>
      <c r="B274" s="2" t="s">
        <v>27</v>
      </c>
      <c r="C274" s="2" t="s">
        <v>44</v>
      </c>
      <c r="D274" s="2" t="n">
        <v>112</v>
      </c>
      <c r="E274" s="2" t="n">
        <v>3</v>
      </c>
      <c r="F274" s="18" t="n">
        <v>175.86</v>
      </c>
    </row>
    <row r="275" customFormat="false" ht="15" hidden="false" customHeight="false" outlineLevel="0" collapsed="false">
      <c r="A275" s="2" t="s">
        <v>59</v>
      </c>
      <c r="B275" s="2" t="s">
        <v>28</v>
      </c>
      <c r="C275" s="2" t="s">
        <v>42</v>
      </c>
      <c r="D275" s="2" t="n">
        <v>493</v>
      </c>
      <c r="E275" s="2" t="n">
        <v>47</v>
      </c>
      <c r="F275" s="18" t="n">
        <v>2941.44</v>
      </c>
    </row>
    <row r="276" customFormat="false" ht="15" hidden="false" customHeight="false" outlineLevel="0" collapsed="false">
      <c r="A276" s="2" t="s">
        <v>59</v>
      </c>
      <c r="B276" s="2" t="s">
        <v>28</v>
      </c>
      <c r="C276" s="2" t="s">
        <v>43</v>
      </c>
      <c r="D276" s="2" t="n">
        <v>396</v>
      </c>
      <c r="E276" s="2" t="n">
        <v>12</v>
      </c>
      <c r="F276" s="18" t="n">
        <v>647.55</v>
      </c>
    </row>
    <row r="277" customFormat="false" ht="15" hidden="false" customHeight="false" outlineLevel="0" collapsed="false">
      <c r="A277" s="2" t="s">
        <v>59</v>
      </c>
      <c r="B277" s="2" t="s">
        <v>28</v>
      </c>
      <c r="C277" s="2" t="s">
        <v>44</v>
      </c>
      <c r="D277" s="2" t="n">
        <v>55</v>
      </c>
      <c r="E277" s="2" t="n">
        <v>3</v>
      </c>
      <c r="F277" s="18" t="n">
        <v>175.86</v>
      </c>
    </row>
    <row r="278" customFormat="false" ht="15" hidden="false" customHeight="false" outlineLevel="0" collapsed="false">
      <c r="A278" s="2" t="s">
        <v>59</v>
      </c>
      <c r="B278" s="2" t="s">
        <v>29</v>
      </c>
      <c r="C278" s="2" t="s">
        <v>42</v>
      </c>
      <c r="D278" s="2" t="n">
        <v>2370</v>
      </c>
      <c r="E278" s="2" t="n">
        <v>166</v>
      </c>
      <c r="F278" s="18" t="n">
        <v>10662.42</v>
      </c>
    </row>
    <row r="279" customFormat="false" ht="15" hidden="false" customHeight="false" outlineLevel="0" collapsed="false">
      <c r="A279" s="2" t="s">
        <v>59</v>
      </c>
      <c r="B279" s="2" t="s">
        <v>29</v>
      </c>
      <c r="C279" s="2" t="s">
        <v>43</v>
      </c>
      <c r="D279" s="2" t="n">
        <v>1782</v>
      </c>
      <c r="E279" s="2" t="n">
        <v>39</v>
      </c>
      <c r="F279" s="18" t="n">
        <v>2006.73</v>
      </c>
    </row>
    <row r="280" customFormat="false" ht="15" hidden="false" customHeight="false" outlineLevel="0" collapsed="false">
      <c r="A280" s="2" t="s">
        <v>59</v>
      </c>
      <c r="B280" s="2" t="s">
        <v>29</v>
      </c>
      <c r="C280" s="2" t="s">
        <v>44</v>
      </c>
      <c r="D280" s="2" t="n">
        <v>269</v>
      </c>
      <c r="E280" s="2" t="n">
        <v>17</v>
      </c>
      <c r="F280" s="18" t="n">
        <v>1126.95</v>
      </c>
    </row>
    <row r="281" customFormat="false" ht="15" hidden="false" customHeight="false" outlineLevel="0" collapsed="false">
      <c r="A281" s="2" t="s">
        <v>59</v>
      </c>
      <c r="B281" s="2" t="s">
        <v>30</v>
      </c>
      <c r="C281" s="2" t="s">
        <v>42</v>
      </c>
      <c r="D281" s="2" t="n">
        <v>1350</v>
      </c>
      <c r="E281" s="2" t="n">
        <v>119</v>
      </c>
      <c r="F281" s="18" t="n">
        <v>7553.31</v>
      </c>
    </row>
    <row r="282" customFormat="false" ht="15" hidden="false" customHeight="false" outlineLevel="0" collapsed="false">
      <c r="A282" s="2" t="s">
        <v>59</v>
      </c>
      <c r="B282" s="2" t="s">
        <v>30</v>
      </c>
      <c r="C282" s="2" t="s">
        <v>43</v>
      </c>
      <c r="D282" s="2" t="n">
        <v>1034</v>
      </c>
      <c r="E282" s="2" t="n">
        <v>35</v>
      </c>
      <c r="F282" s="18" t="n">
        <v>2126.22</v>
      </c>
    </row>
    <row r="283" customFormat="false" ht="15" hidden="false" customHeight="false" outlineLevel="0" collapsed="false">
      <c r="A283" s="2" t="s">
        <v>59</v>
      </c>
      <c r="B283" s="2" t="s">
        <v>30</v>
      </c>
      <c r="C283" s="2" t="s">
        <v>44</v>
      </c>
      <c r="D283" s="2" t="n">
        <v>175</v>
      </c>
      <c r="E283" s="2" t="n">
        <v>15</v>
      </c>
      <c r="F283" s="18" t="n">
        <v>711.63</v>
      </c>
    </row>
    <row r="284" customFormat="false" ht="15" hidden="false" customHeight="false" outlineLevel="0" collapsed="false">
      <c r="A284" s="2" t="s">
        <v>59</v>
      </c>
      <c r="B284" s="2" t="s">
        <v>31</v>
      </c>
      <c r="C284" s="2" t="s">
        <v>42</v>
      </c>
      <c r="D284" s="2" t="n">
        <v>311</v>
      </c>
      <c r="E284" s="2" t="n">
        <v>14</v>
      </c>
      <c r="F284" s="18" t="n">
        <v>1006.98</v>
      </c>
    </row>
    <row r="285" customFormat="false" ht="15" hidden="false" customHeight="false" outlineLevel="0" collapsed="false">
      <c r="A285" s="2" t="s">
        <v>59</v>
      </c>
      <c r="B285" s="2" t="s">
        <v>31</v>
      </c>
      <c r="C285" s="2" t="s">
        <v>43</v>
      </c>
      <c r="D285" s="2" t="n">
        <v>216</v>
      </c>
      <c r="E285" s="2" t="n">
        <v>6</v>
      </c>
      <c r="F285" s="18" t="n">
        <v>407.61</v>
      </c>
    </row>
    <row r="286" customFormat="false" ht="15" hidden="false" customHeight="false" outlineLevel="0" collapsed="false">
      <c r="A286" s="2" t="s">
        <v>59</v>
      </c>
      <c r="B286" s="2" t="s">
        <v>31</v>
      </c>
      <c r="C286" s="2" t="s">
        <v>44</v>
      </c>
      <c r="D286" s="2" t="n">
        <v>54</v>
      </c>
      <c r="E286" s="2" t="n">
        <v>3</v>
      </c>
      <c r="F286" s="18" t="n">
        <v>231.75</v>
      </c>
    </row>
    <row r="287" customFormat="false" ht="15" hidden="false" customHeight="false" outlineLevel="0" collapsed="false">
      <c r="A287" s="2" t="s">
        <v>59</v>
      </c>
      <c r="B287" s="2" t="s">
        <v>32</v>
      </c>
      <c r="C287" s="2" t="s">
        <v>42</v>
      </c>
      <c r="D287" s="2" t="n">
        <v>736</v>
      </c>
      <c r="E287" s="2" t="n">
        <v>36</v>
      </c>
      <c r="F287" s="18" t="n">
        <v>2445.66</v>
      </c>
    </row>
    <row r="288" customFormat="false" ht="15" hidden="false" customHeight="false" outlineLevel="0" collapsed="false">
      <c r="A288" s="2" t="s">
        <v>59</v>
      </c>
      <c r="B288" s="2" t="s">
        <v>32</v>
      </c>
      <c r="C288" s="2" t="s">
        <v>43</v>
      </c>
      <c r="D288" s="2" t="n">
        <v>572</v>
      </c>
      <c r="E288" s="2" t="n">
        <v>9</v>
      </c>
      <c r="F288" s="18" t="n">
        <v>415.8</v>
      </c>
    </row>
    <row r="289" customFormat="false" ht="15" hidden="false" customHeight="false" outlineLevel="0" collapsed="false">
      <c r="A289" s="2" t="s">
        <v>59</v>
      </c>
      <c r="B289" s="2" t="s">
        <v>32</v>
      </c>
      <c r="C289" s="2" t="s">
        <v>44</v>
      </c>
      <c r="D289" s="2" t="n">
        <v>111</v>
      </c>
      <c r="E289" s="2" t="n">
        <v>3</v>
      </c>
      <c r="F289" s="18" t="n">
        <v>175.86</v>
      </c>
    </row>
    <row r="290" customFormat="false" ht="15" hidden="false" customHeight="false" outlineLevel="0" collapsed="false">
      <c r="A290" s="2" t="s">
        <v>60</v>
      </c>
      <c r="B290" s="2" t="s">
        <v>27</v>
      </c>
      <c r="C290" s="2" t="s">
        <v>42</v>
      </c>
      <c r="D290" s="2" t="n">
        <v>956</v>
      </c>
      <c r="E290" s="2" t="n">
        <v>68</v>
      </c>
      <c r="F290" s="18" t="n">
        <v>4507.8</v>
      </c>
    </row>
    <row r="291" customFormat="false" ht="15" hidden="false" customHeight="false" outlineLevel="0" collapsed="false">
      <c r="A291" s="2" t="s">
        <v>60</v>
      </c>
      <c r="B291" s="2" t="s">
        <v>27</v>
      </c>
      <c r="C291" s="2" t="s">
        <v>43</v>
      </c>
      <c r="D291" s="2" t="n">
        <v>735</v>
      </c>
      <c r="E291" s="2" t="n">
        <v>19</v>
      </c>
      <c r="F291" s="18" t="n">
        <v>1151.04</v>
      </c>
    </row>
    <row r="292" customFormat="false" ht="15" hidden="false" customHeight="false" outlineLevel="0" collapsed="false">
      <c r="A292" s="2" t="s">
        <v>60</v>
      </c>
      <c r="B292" s="2" t="s">
        <v>27</v>
      </c>
      <c r="C292" s="2" t="s">
        <v>44</v>
      </c>
      <c r="D292" s="2" t="n">
        <v>126</v>
      </c>
      <c r="E292" s="2" t="n">
        <v>5</v>
      </c>
      <c r="F292" s="18" t="n">
        <v>311.73</v>
      </c>
    </row>
    <row r="293" customFormat="false" ht="15" hidden="false" customHeight="false" outlineLevel="0" collapsed="false">
      <c r="A293" s="2" t="s">
        <v>60</v>
      </c>
      <c r="B293" s="2" t="s">
        <v>28</v>
      </c>
      <c r="C293" s="2" t="s">
        <v>42</v>
      </c>
      <c r="D293" s="2" t="n">
        <v>479</v>
      </c>
      <c r="E293" s="2" t="n">
        <v>41</v>
      </c>
      <c r="F293" s="18" t="n">
        <v>2869.17</v>
      </c>
    </row>
    <row r="294" customFormat="false" ht="15" hidden="false" customHeight="false" outlineLevel="0" collapsed="false">
      <c r="A294" s="2" t="s">
        <v>60</v>
      </c>
      <c r="B294" s="2" t="s">
        <v>28</v>
      </c>
      <c r="C294" s="2" t="s">
        <v>43</v>
      </c>
      <c r="D294" s="2" t="n">
        <v>384</v>
      </c>
      <c r="E294" s="2" t="n">
        <v>12</v>
      </c>
      <c r="F294" s="18" t="n">
        <v>647.55</v>
      </c>
    </row>
    <row r="295" customFormat="false" ht="15" hidden="false" customHeight="false" outlineLevel="0" collapsed="false">
      <c r="A295" s="2" t="s">
        <v>60</v>
      </c>
      <c r="B295" s="2" t="s">
        <v>28</v>
      </c>
      <c r="C295" s="2" t="s">
        <v>44</v>
      </c>
      <c r="D295" s="2" t="n">
        <v>75</v>
      </c>
      <c r="E295" s="2" t="n">
        <v>3</v>
      </c>
      <c r="F295" s="18" t="n">
        <v>175.86</v>
      </c>
    </row>
    <row r="296" customFormat="false" ht="15" hidden="false" customHeight="false" outlineLevel="0" collapsed="false">
      <c r="A296" s="2" t="s">
        <v>60</v>
      </c>
      <c r="B296" s="2" t="s">
        <v>29</v>
      </c>
      <c r="C296" s="2" t="s">
        <v>42</v>
      </c>
      <c r="D296" s="2" t="n">
        <v>2346</v>
      </c>
      <c r="E296" s="2" t="n">
        <v>160</v>
      </c>
      <c r="F296" s="18" t="n">
        <v>10143.03</v>
      </c>
    </row>
    <row r="297" customFormat="false" ht="15" hidden="false" customHeight="false" outlineLevel="0" collapsed="false">
      <c r="A297" s="2" t="s">
        <v>60</v>
      </c>
      <c r="B297" s="2" t="s">
        <v>29</v>
      </c>
      <c r="C297" s="2" t="s">
        <v>43</v>
      </c>
      <c r="D297" s="2" t="n">
        <v>1798</v>
      </c>
      <c r="E297" s="2" t="n">
        <v>52</v>
      </c>
      <c r="F297" s="18" t="n">
        <v>2861.94</v>
      </c>
    </row>
    <row r="298" customFormat="false" ht="15" hidden="false" customHeight="false" outlineLevel="0" collapsed="false">
      <c r="A298" s="2" t="s">
        <v>60</v>
      </c>
      <c r="B298" s="2" t="s">
        <v>29</v>
      </c>
      <c r="C298" s="2" t="s">
        <v>44</v>
      </c>
      <c r="D298" s="2" t="n">
        <v>316</v>
      </c>
      <c r="E298" s="2" t="n">
        <v>10</v>
      </c>
      <c r="F298" s="18" t="n">
        <v>567.57</v>
      </c>
    </row>
    <row r="299" customFormat="false" ht="15" hidden="false" customHeight="false" outlineLevel="0" collapsed="false">
      <c r="A299" s="2" t="s">
        <v>60</v>
      </c>
      <c r="B299" s="2" t="s">
        <v>30</v>
      </c>
      <c r="C299" s="2" t="s">
        <v>42</v>
      </c>
      <c r="D299" s="2" t="n">
        <v>1393</v>
      </c>
      <c r="E299" s="2" t="n">
        <v>116</v>
      </c>
      <c r="F299" s="18" t="n">
        <v>7992.24</v>
      </c>
    </row>
    <row r="300" customFormat="false" ht="15" hidden="false" customHeight="false" outlineLevel="0" collapsed="false">
      <c r="A300" s="2" t="s">
        <v>60</v>
      </c>
      <c r="B300" s="2" t="s">
        <v>30</v>
      </c>
      <c r="C300" s="2" t="s">
        <v>43</v>
      </c>
      <c r="D300" s="2" t="n">
        <v>1087</v>
      </c>
      <c r="E300" s="2" t="n">
        <v>33</v>
      </c>
      <c r="F300" s="18" t="n">
        <v>1934.46</v>
      </c>
    </row>
    <row r="301" customFormat="false" ht="15" hidden="false" customHeight="false" outlineLevel="0" collapsed="false">
      <c r="A301" s="2" t="s">
        <v>60</v>
      </c>
      <c r="B301" s="2" t="s">
        <v>30</v>
      </c>
      <c r="C301" s="2" t="s">
        <v>44</v>
      </c>
      <c r="D301" s="2" t="n">
        <v>221</v>
      </c>
      <c r="E301" s="2" t="n">
        <v>7</v>
      </c>
      <c r="F301" s="18" t="n">
        <v>391.71</v>
      </c>
    </row>
    <row r="302" customFormat="false" ht="15" hidden="false" customHeight="false" outlineLevel="0" collapsed="false">
      <c r="A302" s="2" t="s">
        <v>60</v>
      </c>
      <c r="B302" s="2" t="s">
        <v>31</v>
      </c>
      <c r="C302" s="2" t="s">
        <v>42</v>
      </c>
      <c r="D302" s="2" t="n">
        <v>283</v>
      </c>
      <c r="E302" s="2" t="n">
        <v>16</v>
      </c>
      <c r="F302" s="18" t="n">
        <v>975.18</v>
      </c>
    </row>
    <row r="303" customFormat="false" ht="15" hidden="false" customHeight="false" outlineLevel="0" collapsed="false">
      <c r="A303" s="2" t="s">
        <v>60</v>
      </c>
      <c r="B303" s="2" t="s">
        <v>31</v>
      </c>
      <c r="C303" s="2" t="s">
        <v>43</v>
      </c>
      <c r="D303" s="2" t="n">
        <v>248</v>
      </c>
      <c r="E303" s="2" t="n">
        <v>7</v>
      </c>
      <c r="F303" s="18" t="n">
        <v>335.82</v>
      </c>
    </row>
    <row r="304" customFormat="false" ht="15" hidden="false" customHeight="false" outlineLevel="0" collapsed="false">
      <c r="A304" s="2" t="s">
        <v>60</v>
      </c>
      <c r="B304" s="2" t="s">
        <v>31</v>
      </c>
      <c r="C304" s="2" t="s">
        <v>44</v>
      </c>
      <c r="D304" s="2" t="n">
        <v>41</v>
      </c>
      <c r="E304" s="2" t="n">
        <v>3</v>
      </c>
      <c r="F304" s="18" t="n">
        <v>231.75</v>
      </c>
    </row>
    <row r="305" customFormat="false" ht="15" hidden="false" customHeight="false" outlineLevel="0" collapsed="false">
      <c r="A305" s="2" t="s">
        <v>60</v>
      </c>
      <c r="B305" s="2" t="s">
        <v>32</v>
      </c>
      <c r="C305" s="2" t="s">
        <v>42</v>
      </c>
      <c r="D305" s="2" t="n">
        <v>763</v>
      </c>
      <c r="E305" s="2" t="n">
        <v>38</v>
      </c>
      <c r="F305" s="18" t="n">
        <v>2469.75</v>
      </c>
    </row>
    <row r="306" customFormat="false" ht="15" hidden="false" customHeight="false" outlineLevel="0" collapsed="false">
      <c r="A306" s="2" t="s">
        <v>60</v>
      </c>
      <c r="B306" s="2" t="s">
        <v>32</v>
      </c>
      <c r="C306" s="2" t="s">
        <v>43</v>
      </c>
      <c r="D306" s="2" t="n">
        <v>561</v>
      </c>
      <c r="E306" s="2" t="n">
        <v>11</v>
      </c>
      <c r="F306" s="18" t="n">
        <v>607.56</v>
      </c>
    </row>
    <row r="307" customFormat="false" ht="15" hidden="false" customHeight="false" outlineLevel="0" collapsed="false">
      <c r="A307" s="2" t="s">
        <v>60</v>
      </c>
      <c r="B307" s="2" t="s">
        <v>32</v>
      </c>
      <c r="C307" s="2" t="s">
        <v>44</v>
      </c>
      <c r="D307" s="2" t="n">
        <v>87</v>
      </c>
      <c r="E307" s="2" t="n">
        <v>1</v>
      </c>
      <c r="F307" s="18" t="n">
        <v>95.88</v>
      </c>
    </row>
    <row r="308" customFormat="false" ht="15" hidden="false" customHeight="false" outlineLevel="0" collapsed="false">
      <c r="A308" s="2" t="s">
        <v>3</v>
      </c>
      <c r="B308" s="2" t="s">
        <v>27</v>
      </c>
      <c r="C308" s="2" t="s">
        <v>42</v>
      </c>
      <c r="D308" s="2" t="n">
        <v>925</v>
      </c>
      <c r="E308" s="2" t="n">
        <v>70</v>
      </c>
      <c r="F308" s="18" t="n">
        <v>4531.89</v>
      </c>
    </row>
    <row r="309" customFormat="false" ht="15" hidden="false" customHeight="false" outlineLevel="0" collapsed="false">
      <c r="A309" s="2" t="s">
        <v>3</v>
      </c>
      <c r="B309" s="2" t="s">
        <v>27</v>
      </c>
      <c r="C309" s="2" t="s">
        <v>43</v>
      </c>
      <c r="D309" s="2" t="n">
        <v>747</v>
      </c>
      <c r="E309" s="2" t="n">
        <v>16</v>
      </c>
      <c r="F309" s="18" t="n">
        <v>1086.96</v>
      </c>
    </row>
    <row r="310" customFormat="false" ht="15" hidden="false" customHeight="false" outlineLevel="0" collapsed="false">
      <c r="A310" s="2" t="s">
        <v>3</v>
      </c>
      <c r="B310" s="2" t="s">
        <v>27</v>
      </c>
      <c r="C310" s="2" t="s">
        <v>44</v>
      </c>
      <c r="D310" s="2" t="n">
        <v>156</v>
      </c>
      <c r="E310" s="2" t="n">
        <v>8</v>
      </c>
      <c r="F310" s="18" t="n">
        <v>543.48</v>
      </c>
    </row>
    <row r="311" customFormat="false" ht="15" hidden="false" customHeight="false" outlineLevel="0" collapsed="false">
      <c r="A311" s="2" t="s">
        <v>3</v>
      </c>
      <c r="B311" s="2" t="s">
        <v>28</v>
      </c>
      <c r="C311" s="2" t="s">
        <v>42</v>
      </c>
      <c r="D311" s="2" t="n">
        <v>489</v>
      </c>
      <c r="E311" s="2" t="n">
        <v>40</v>
      </c>
      <c r="F311" s="18" t="n">
        <v>2437.95</v>
      </c>
    </row>
    <row r="312" customFormat="false" ht="15" hidden="false" customHeight="false" outlineLevel="0" collapsed="false">
      <c r="A312" s="2" t="s">
        <v>3</v>
      </c>
      <c r="B312" s="2" t="s">
        <v>28</v>
      </c>
      <c r="C312" s="2" t="s">
        <v>43</v>
      </c>
      <c r="D312" s="2" t="n">
        <v>390</v>
      </c>
      <c r="E312" s="2" t="n">
        <v>10</v>
      </c>
      <c r="F312" s="18" t="n">
        <v>679.35</v>
      </c>
    </row>
    <row r="313" customFormat="false" ht="15" hidden="false" customHeight="false" outlineLevel="0" collapsed="false">
      <c r="A313" s="2" t="s">
        <v>3</v>
      </c>
      <c r="B313" s="2" t="s">
        <v>28</v>
      </c>
      <c r="C313" s="2" t="s">
        <v>44</v>
      </c>
      <c r="D313" s="2" t="n">
        <v>73</v>
      </c>
      <c r="E313" s="2" t="n">
        <v>6</v>
      </c>
      <c r="F313" s="18" t="n">
        <v>295.83</v>
      </c>
    </row>
    <row r="314" customFormat="false" ht="15" hidden="false" customHeight="false" outlineLevel="0" collapsed="false">
      <c r="A314" s="2" t="s">
        <v>3</v>
      </c>
      <c r="B314" s="2" t="s">
        <v>29</v>
      </c>
      <c r="C314" s="2" t="s">
        <v>42</v>
      </c>
      <c r="D314" s="2" t="n">
        <v>2431</v>
      </c>
      <c r="E314" s="2" t="n">
        <v>154</v>
      </c>
      <c r="F314" s="18" t="n">
        <v>9400.08</v>
      </c>
    </row>
    <row r="315" customFormat="false" ht="15" hidden="false" customHeight="false" outlineLevel="0" collapsed="false">
      <c r="A315" s="2" t="s">
        <v>3</v>
      </c>
      <c r="B315" s="2" t="s">
        <v>29</v>
      </c>
      <c r="C315" s="2" t="s">
        <v>43</v>
      </c>
      <c r="D315" s="2" t="n">
        <v>1851</v>
      </c>
      <c r="E315" s="2" t="n">
        <v>48</v>
      </c>
      <c r="F315" s="18" t="n">
        <v>2646.09</v>
      </c>
    </row>
    <row r="316" customFormat="false" ht="15" hidden="false" customHeight="false" outlineLevel="0" collapsed="false">
      <c r="A316" s="2" t="s">
        <v>3</v>
      </c>
      <c r="B316" s="2" t="s">
        <v>29</v>
      </c>
      <c r="C316" s="2" t="s">
        <v>44</v>
      </c>
      <c r="D316" s="2" t="n">
        <v>323</v>
      </c>
      <c r="E316" s="2" t="n">
        <v>12</v>
      </c>
      <c r="F316" s="18" t="n">
        <v>647.55</v>
      </c>
    </row>
    <row r="317" customFormat="false" ht="15" hidden="false" customHeight="false" outlineLevel="0" collapsed="false">
      <c r="A317" s="2" t="s">
        <v>3</v>
      </c>
      <c r="B317" s="2" t="s">
        <v>30</v>
      </c>
      <c r="C317" s="2" t="s">
        <v>42</v>
      </c>
      <c r="D317" s="2" t="n">
        <v>1451</v>
      </c>
      <c r="E317" s="2" t="n">
        <v>112</v>
      </c>
      <c r="F317" s="18" t="n">
        <v>7161.6</v>
      </c>
    </row>
    <row r="318" customFormat="false" ht="15" hidden="false" customHeight="false" outlineLevel="0" collapsed="false">
      <c r="A318" s="2" t="s">
        <v>3</v>
      </c>
      <c r="B318" s="2" t="s">
        <v>30</v>
      </c>
      <c r="C318" s="2" t="s">
        <v>43</v>
      </c>
      <c r="D318" s="2" t="n">
        <v>1089</v>
      </c>
      <c r="E318" s="2" t="n">
        <v>32</v>
      </c>
      <c r="F318" s="18" t="n">
        <v>1838.58</v>
      </c>
    </row>
    <row r="319" customFormat="false" ht="15" hidden="false" customHeight="false" outlineLevel="0" collapsed="false">
      <c r="A319" s="2" t="s">
        <v>3</v>
      </c>
      <c r="B319" s="2" t="s">
        <v>30</v>
      </c>
      <c r="C319" s="2" t="s">
        <v>44</v>
      </c>
      <c r="D319" s="2" t="n">
        <v>158</v>
      </c>
      <c r="E319" s="2" t="n">
        <v>13</v>
      </c>
      <c r="F319" s="18" t="n">
        <v>687.54</v>
      </c>
    </row>
    <row r="320" customFormat="false" ht="15" hidden="false" customHeight="false" outlineLevel="0" collapsed="false">
      <c r="A320" s="2" t="s">
        <v>3</v>
      </c>
      <c r="B320" s="2" t="s">
        <v>31</v>
      </c>
      <c r="C320" s="2" t="s">
        <v>42</v>
      </c>
      <c r="D320" s="2" t="n">
        <v>338</v>
      </c>
      <c r="E320" s="2" t="n">
        <v>19</v>
      </c>
      <c r="F320" s="18" t="n">
        <v>1262.82</v>
      </c>
    </row>
    <row r="321" customFormat="false" ht="15" hidden="false" customHeight="false" outlineLevel="0" collapsed="false">
      <c r="A321" s="2" t="s">
        <v>3</v>
      </c>
      <c r="B321" s="2" t="s">
        <v>31</v>
      </c>
      <c r="C321" s="2" t="s">
        <v>43</v>
      </c>
      <c r="D321" s="2" t="n">
        <v>256</v>
      </c>
      <c r="E321" s="2" t="n">
        <v>7</v>
      </c>
      <c r="F321" s="18" t="n">
        <v>335.82</v>
      </c>
    </row>
    <row r="322" customFormat="false" ht="15" hidden="false" customHeight="false" outlineLevel="0" collapsed="false">
      <c r="A322" s="2" t="s">
        <v>3</v>
      </c>
      <c r="B322" s="2" t="s">
        <v>31</v>
      </c>
      <c r="C322" s="2" t="s">
        <v>44</v>
      </c>
      <c r="D322" s="2" t="n">
        <v>40</v>
      </c>
      <c r="E322" s="2" t="n">
        <v>3</v>
      </c>
      <c r="F322" s="18" t="n">
        <v>175.86</v>
      </c>
    </row>
    <row r="323" customFormat="false" ht="15" hidden="false" customHeight="false" outlineLevel="0" collapsed="false">
      <c r="A323" s="2" t="s">
        <v>3</v>
      </c>
      <c r="B323" s="2" t="s">
        <v>32</v>
      </c>
      <c r="C323" s="2" t="s">
        <v>42</v>
      </c>
      <c r="D323" s="2" t="n">
        <v>739</v>
      </c>
      <c r="E323" s="2" t="n">
        <v>37</v>
      </c>
      <c r="F323" s="18" t="n">
        <v>2373.87</v>
      </c>
    </row>
    <row r="324" customFormat="false" ht="15" hidden="false" customHeight="false" outlineLevel="0" collapsed="false">
      <c r="A324" s="2" t="s">
        <v>3</v>
      </c>
      <c r="B324" s="2" t="s">
        <v>32</v>
      </c>
      <c r="C324" s="2" t="s">
        <v>43</v>
      </c>
      <c r="D324" s="2" t="n">
        <v>625</v>
      </c>
      <c r="E324" s="2" t="n">
        <v>9</v>
      </c>
      <c r="F324" s="18" t="n">
        <v>527.58</v>
      </c>
    </row>
    <row r="325" customFormat="false" ht="15" hidden="false" customHeight="false" outlineLevel="0" collapsed="false">
      <c r="A325" s="2" t="s">
        <v>3</v>
      </c>
      <c r="B325" s="2" t="s">
        <v>32</v>
      </c>
      <c r="C325" s="2" t="s">
        <v>44</v>
      </c>
      <c r="D325" s="2" t="n">
        <v>108</v>
      </c>
      <c r="E325" s="2" t="n">
        <v>2</v>
      </c>
      <c r="F325" s="18" t="n">
        <v>135.87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8"/>
  </cols>
  <sheetData>
    <row r="1" customFormat="false" ht="39.55" hidden="false" customHeight="false" outlineLevel="0" collapsed="false">
      <c r="A1" s="8" t="s">
        <v>61</v>
      </c>
      <c r="B1" s="8" t="s">
        <v>12</v>
      </c>
      <c r="C1" s="8" t="s">
        <v>24</v>
      </c>
      <c r="D1" s="8" t="s">
        <v>62</v>
      </c>
      <c r="E1" s="8" t="s">
        <v>26</v>
      </c>
      <c r="F1" s="8" t="s">
        <v>16</v>
      </c>
      <c r="G1" s="8" t="s">
        <v>17</v>
      </c>
      <c r="H1" s="8" t="s">
        <v>63</v>
      </c>
      <c r="I1" s="8" t="s">
        <v>18</v>
      </c>
    </row>
    <row r="2" customFormat="false" ht="15" hidden="false" customHeight="false" outlineLevel="0" collapsed="false">
      <c r="A2" s="22" t="s">
        <v>41</v>
      </c>
      <c r="B2" s="23" t="n">
        <f aca="false">SUMIFS(Data!$D$2:$D$325,Data!$A$2:$A$325,A2)</f>
        <v>7971</v>
      </c>
      <c r="C2" s="23" t="n">
        <f aca="false">SUMIFS(Data!$E$2:$E$325,Data!$A$2:$A$325,A2)</f>
        <v>389</v>
      </c>
      <c r="D2" s="24" t="n">
        <f aca="false">IFERROR(C2/B2,0)</f>
        <v>0.048801906912558</v>
      </c>
      <c r="E2" s="25" t="n">
        <f aca="false">SUMIFS(Data!$F$2:$F$325,Data!$A$2:$A$325,A2)</f>
        <v>23883.72</v>
      </c>
      <c r="F2" s="25" t="n">
        <v>0</v>
      </c>
      <c r="G2" s="25" t="n">
        <f aca="false">E2+F2</f>
        <v>23883.72</v>
      </c>
      <c r="H2" s="23" t="n">
        <v>0</v>
      </c>
      <c r="I2" s="23" t="n">
        <v>389</v>
      </c>
    </row>
    <row r="3" customFormat="false" ht="15" hidden="false" customHeight="false" outlineLevel="0" collapsed="false">
      <c r="A3" s="2" t="s">
        <v>45</v>
      </c>
      <c r="B3" s="17" t="n">
        <f aca="false">SUMIFS(Data!$D$2:$D$325,Data!$A$2:$A$325,A3)</f>
        <v>7425</v>
      </c>
      <c r="C3" s="17" t="n">
        <f aca="false">SUMIFS(Data!$E$2:$E$325,Data!$A$2:$A$325,A3)</f>
        <v>363</v>
      </c>
      <c r="D3" s="26" t="n">
        <f aca="false">IFERROR(C3/B3,0)</f>
        <v>0.0488888888888889</v>
      </c>
      <c r="E3" s="18" t="n">
        <f aca="false">SUMIFS(Data!$F$2:$F$325,Data!$A$2:$A$325,A3)</f>
        <v>23458.77</v>
      </c>
      <c r="F3" s="18" t="n">
        <v>6118.47</v>
      </c>
      <c r="G3" s="18" t="n">
        <f aca="false">E3+F3</f>
        <v>29577.24</v>
      </c>
      <c r="H3" s="17" t="n">
        <v>153</v>
      </c>
      <c r="I3" s="17" t="n">
        <v>664</v>
      </c>
    </row>
    <row r="4" customFormat="false" ht="15" hidden="false" customHeight="false" outlineLevel="0" collapsed="false">
      <c r="A4" s="22" t="s">
        <v>46</v>
      </c>
      <c r="B4" s="23" t="n">
        <f aca="false">SUMIFS(Data!$D$2:$D$325,Data!$A$2:$A$325,A4)</f>
        <v>8318</v>
      </c>
      <c r="C4" s="23" t="n">
        <f aca="false">SUMIFS(Data!$E$2:$E$325,Data!$A$2:$A$325,A4)</f>
        <v>376</v>
      </c>
      <c r="D4" s="24" t="n">
        <f aca="false">IFERROR(C4/B4,0)</f>
        <v>0.0452031738398654</v>
      </c>
      <c r="E4" s="25" t="n">
        <f aca="false">SUMIFS(Data!$F$2:$F$325,Data!$A$2:$A$325,A4)</f>
        <v>23810.97</v>
      </c>
      <c r="F4" s="25" t="n">
        <v>10677.33</v>
      </c>
      <c r="G4" s="25" t="n">
        <f aca="false">E4+F4</f>
        <v>34488.3</v>
      </c>
      <c r="H4" s="23" t="n">
        <v>267</v>
      </c>
      <c r="I4" s="23" t="n">
        <v>952</v>
      </c>
    </row>
    <row r="5" customFormat="false" ht="15" hidden="false" customHeight="false" outlineLevel="0" collapsed="false">
      <c r="A5" s="2" t="s">
        <v>47</v>
      </c>
      <c r="B5" s="17" t="n">
        <f aca="false">SUMIFS(Data!$D$2:$D$325,Data!$A$2:$A$325,A5)</f>
        <v>8586</v>
      </c>
      <c r="C5" s="17" t="n">
        <f aca="false">SUMIFS(Data!$E$2:$E$325,Data!$A$2:$A$325,A5)</f>
        <v>383</v>
      </c>
      <c r="D5" s="26" t="n">
        <f aca="false">IFERROR(C5/B5,0)</f>
        <v>0.0446075005823434</v>
      </c>
      <c r="E5" s="18" t="n">
        <f aca="false">SUMIFS(Data!$F$2:$F$325,Data!$A$2:$A$325,A5)</f>
        <v>23252.55</v>
      </c>
      <c r="F5" s="18" t="n">
        <v>14836.29</v>
      </c>
      <c r="G5" s="18" t="n">
        <f aca="false">E5+F5</f>
        <v>38088.84</v>
      </c>
      <c r="H5" s="17" t="n">
        <v>371</v>
      </c>
      <c r="I5" s="17" t="n">
        <v>1220</v>
      </c>
    </row>
    <row r="6" customFormat="false" ht="15" hidden="false" customHeight="false" outlineLevel="0" collapsed="false">
      <c r="A6" s="22" t="s">
        <v>48</v>
      </c>
      <c r="B6" s="23" t="n">
        <f aca="false">SUMIFS(Data!$D$2:$D$325,Data!$A$2:$A$325,A6)</f>
        <v>8851</v>
      </c>
      <c r="C6" s="23" t="n">
        <f aca="false">SUMIFS(Data!$E$2:$E$325,Data!$A$2:$A$325,A6)</f>
        <v>421</v>
      </c>
      <c r="D6" s="24" t="n">
        <f aca="false">IFERROR(C6/B6,0)</f>
        <v>0.047565246864761</v>
      </c>
      <c r="E6" s="25" t="n">
        <f aca="false">SUMIFS(Data!$F$2:$F$325,Data!$A$2:$A$325,A6)</f>
        <v>26113.53</v>
      </c>
      <c r="F6" s="25" t="n">
        <v>18955.26</v>
      </c>
      <c r="G6" s="25" t="n">
        <f aca="false">E6+F6</f>
        <v>45068.79</v>
      </c>
      <c r="H6" s="23" t="n">
        <v>474</v>
      </c>
      <c r="I6" s="23" t="n">
        <v>1503</v>
      </c>
    </row>
    <row r="7" customFormat="false" ht="15" hidden="false" customHeight="false" outlineLevel="0" collapsed="false">
      <c r="A7" s="2" t="s">
        <v>49</v>
      </c>
      <c r="B7" s="17" t="n">
        <f aca="false">SUMIFS(Data!$D$2:$D$325,Data!$A$2:$A$325,A7)</f>
        <v>8895</v>
      </c>
      <c r="C7" s="17" t="n">
        <f aca="false">SUMIFS(Data!$E$2:$E$325,Data!$A$2:$A$325,A7)</f>
        <v>393</v>
      </c>
      <c r="D7" s="26" t="n">
        <f aca="false">IFERROR(C7/B7,0)</f>
        <v>0.0441821247892074</v>
      </c>
      <c r="E7" s="18" t="n">
        <f aca="false">SUMIFS(Data!$F$2:$F$325,Data!$A$2:$A$325,A7)</f>
        <v>23708.34</v>
      </c>
      <c r="F7" s="18" t="n">
        <v>22274.43</v>
      </c>
      <c r="G7" s="18" t="n">
        <f aca="false">E7+F7</f>
        <v>45982.77</v>
      </c>
      <c r="H7" s="17" t="n">
        <v>557</v>
      </c>
      <c r="I7" s="17" t="n">
        <v>1723</v>
      </c>
    </row>
    <row r="8" customFormat="false" ht="15" hidden="false" customHeight="false" outlineLevel="0" collapsed="false">
      <c r="A8" s="22" t="s">
        <v>50</v>
      </c>
      <c r="B8" s="23" t="n">
        <f aca="false">SUMIFS(Data!$D$2:$D$325,Data!$A$2:$A$325,A8)</f>
        <v>9633</v>
      </c>
      <c r="C8" s="23" t="n">
        <f aca="false">SUMIFS(Data!$E$2:$E$325,Data!$A$2:$A$325,A8)</f>
        <v>465</v>
      </c>
      <c r="D8" s="24" t="n">
        <f aca="false">IFERROR(C8/B8,0)</f>
        <v>0.04827156649019</v>
      </c>
      <c r="E8" s="25" t="n">
        <f aca="false">SUMIFS(Data!$F$2:$F$325,Data!$A$2:$A$325,A8)</f>
        <v>29438.01</v>
      </c>
      <c r="F8" s="25" t="n">
        <v>25113.72</v>
      </c>
      <c r="G8" s="25" t="n">
        <f aca="false">E8+F8</f>
        <v>54551.73</v>
      </c>
      <c r="H8" s="23" t="n">
        <v>628</v>
      </c>
      <c r="I8" s="23" t="n">
        <v>2011</v>
      </c>
    </row>
    <row r="9" customFormat="false" ht="15" hidden="false" customHeight="false" outlineLevel="0" collapsed="false">
      <c r="A9" s="2" t="s">
        <v>51</v>
      </c>
      <c r="B9" s="17" t="n">
        <f aca="false">SUMIFS(Data!$D$2:$D$325,Data!$A$2:$A$325,A9)</f>
        <v>9757</v>
      </c>
      <c r="C9" s="17" t="n">
        <f aca="false">SUMIFS(Data!$E$2:$E$325,Data!$A$2:$A$325,A9)</f>
        <v>438</v>
      </c>
      <c r="D9" s="26" t="n">
        <f aca="false">IFERROR(C9/B9,0)</f>
        <v>0.0448908475965973</v>
      </c>
      <c r="E9" s="18" t="n">
        <f aca="false">SUMIFS(Data!$F$2:$F$325,Data!$A$2:$A$325,A9)</f>
        <v>26849.25</v>
      </c>
      <c r="F9" s="18" t="n">
        <v>29752.56</v>
      </c>
      <c r="G9" s="18" t="n">
        <f aca="false">E9+F9</f>
        <v>56601.81</v>
      </c>
      <c r="H9" s="17" t="n">
        <v>744</v>
      </c>
      <c r="I9" s="17" t="n">
        <v>2292</v>
      </c>
    </row>
    <row r="10" customFormat="false" ht="15" hidden="false" customHeight="false" outlineLevel="0" collapsed="false">
      <c r="A10" s="22" t="s">
        <v>52</v>
      </c>
      <c r="B10" s="23" t="n">
        <f aca="false">SUMIFS(Data!$D$2:$D$325,Data!$A$2:$A$325,A10)</f>
        <v>9895</v>
      </c>
      <c r="C10" s="23" t="n">
        <f aca="false">SUMIFS(Data!$E$2:$E$325,Data!$A$2:$A$325,A10)</f>
        <v>474</v>
      </c>
      <c r="D10" s="24" t="n">
        <f aca="false">IFERROR(C10/B10,0)</f>
        <v>0.0479029813036887</v>
      </c>
      <c r="E10" s="25" t="n">
        <f aca="false">SUMIFS(Data!$F$2:$F$325,Data!$A$2:$A$325,A10)</f>
        <v>28736.01</v>
      </c>
      <c r="F10" s="25" t="n">
        <v>33471.63</v>
      </c>
      <c r="G10" s="25" t="n">
        <f aca="false">E10+F10</f>
        <v>62207.64</v>
      </c>
      <c r="H10" s="23" t="n">
        <v>837</v>
      </c>
      <c r="I10" s="23" t="n">
        <v>2589</v>
      </c>
    </row>
    <row r="11" customFormat="false" ht="15" hidden="false" customHeight="false" outlineLevel="0" collapsed="false">
      <c r="A11" s="2" t="s">
        <v>53</v>
      </c>
      <c r="B11" s="17" t="n">
        <f aca="false">SUMIFS(Data!$D$2:$D$325,Data!$A$2:$A$325,A11)</f>
        <v>10522</v>
      </c>
      <c r="C11" s="17" t="n">
        <f aca="false">SUMIFS(Data!$E$2:$E$325,Data!$A$2:$A$325,A11)</f>
        <v>475</v>
      </c>
      <c r="D11" s="26" t="n">
        <f aca="false">IFERROR(C11/B11,0)</f>
        <v>0.0451435088386238</v>
      </c>
      <c r="E11" s="18" t="n">
        <f aca="false">SUMIFS(Data!$F$2:$F$325,Data!$A$2:$A$325,A11)</f>
        <v>29279.01</v>
      </c>
      <c r="F11" s="18" t="n">
        <v>38150.46</v>
      </c>
      <c r="G11" s="18" t="n">
        <f aca="false">E11+F11</f>
        <v>67429.47</v>
      </c>
      <c r="H11" s="17" t="n">
        <v>954</v>
      </c>
      <c r="I11" s="17" t="n">
        <v>2881</v>
      </c>
    </row>
    <row r="12" customFormat="false" ht="15" hidden="false" customHeight="false" outlineLevel="0" collapsed="false">
      <c r="A12" s="22" t="s">
        <v>54</v>
      </c>
      <c r="B12" s="23" t="n">
        <f aca="false">SUMIFS(Data!$D$2:$D$325,Data!$A$2:$A$325,A12)</f>
        <v>10046</v>
      </c>
      <c r="C12" s="23" t="n">
        <f aca="false">SUMIFS(Data!$E$2:$E$325,Data!$A$2:$A$325,A12)</f>
        <v>447</v>
      </c>
      <c r="D12" s="24" t="n">
        <f aca="false">IFERROR(C12/B12,0)</f>
        <v>0.0444953215210034</v>
      </c>
      <c r="E12" s="25" t="n">
        <f aca="false">SUMIFS(Data!$F$2:$F$325,Data!$A$2:$A$325,A12)</f>
        <v>28271.07</v>
      </c>
      <c r="F12" s="25" t="n">
        <v>41949.51</v>
      </c>
      <c r="G12" s="25" t="n">
        <f aca="false">E12+F12</f>
        <v>70220.58</v>
      </c>
      <c r="H12" s="23" t="n">
        <v>1049</v>
      </c>
      <c r="I12" s="23" t="n">
        <v>3134</v>
      </c>
    </row>
    <row r="13" customFormat="false" ht="15" hidden="false" customHeight="false" outlineLevel="0" collapsed="false">
      <c r="A13" s="2" t="s">
        <v>55</v>
      </c>
      <c r="B13" s="17" t="n">
        <f aca="false">SUMIFS(Data!$D$2:$D$325,Data!$A$2:$A$325,A13)</f>
        <v>11033</v>
      </c>
      <c r="C13" s="17" t="n">
        <f aca="false">SUMIFS(Data!$E$2:$E$325,Data!$A$2:$A$325,A13)</f>
        <v>522</v>
      </c>
      <c r="D13" s="26" t="n">
        <f aca="false">IFERROR(C13/B13,0)</f>
        <v>0.0473126076316505</v>
      </c>
      <c r="E13" s="18" t="n">
        <f aca="false">SUMIFS(Data!$F$2:$F$325,Data!$A$2:$A$325,A13)</f>
        <v>32052.78</v>
      </c>
      <c r="F13" s="18" t="n">
        <v>44108.97</v>
      </c>
      <c r="G13" s="18" t="n">
        <f aca="false">E13+F13</f>
        <v>76161.75</v>
      </c>
      <c r="H13" s="17" t="n">
        <v>1103</v>
      </c>
      <c r="I13" s="17" t="n">
        <v>3448</v>
      </c>
    </row>
    <row r="14" customFormat="false" ht="15" hidden="false" customHeight="false" outlineLevel="0" collapsed="false">
      <c r="A14" s="22" t="s">
        <v>56</v>
      </c>
      <c r="B14" s="23" t="n">
        <f aca="false">SUMIFS(Data!$D$2:$D$325,Data!$A$2:$A$325,A14)</f>
        <v>11202</v>
      </c>
      <c r="C14" s="23" t="n">
        <f aca="false">SUMIFS(Data!$E$2:$E$325,Data!$A$2:$A$325,A14)</f>
        <v>575</v>
      </c>
      <c r="D14" s="24" t="n">
        <f aca="false">IFERROR(C14/B14,0)</f>
        <v>0.0513301196214962</v>
      </c>
      <c r="E14" s="25" t="n">
        <f aca="false">SUMIFS(Data!$F$2:$F$325,Data!$A$2:$A$325,A14)</f>
        <v>35513.61</v>
      </c>
      <c r="F14" s="25" t="n">
        <v>56673.57</v>
      </c>
      <c r="G14" s="25" t="n">
        <f aca="false">E14+F14</f>
        <v>92187.18</v>
      </c>
      <c r="H14" s="23" t="n">
        <v>1297</v>
      </c>
      <c r="I14" s="23" t="n">
        <v>3746</v>
      </c>
    </row>
    <row r="15" customFormat="false" ht="15" hidden="false" customHeight="false" outlineLevel="0" collapsed="false">
      <c r="A15" s="2" t="s">
        <v>57</v>
      </c>
      <c r="B15" s="17" t="n">
        <f aca="false">SUMIFS(Data!$D$2:$D$325,Data!$A$2:$A$325,A15)</f>
        <v>10294</v>
      </c>
      <c r="C15" s="17" t="n">
        <f aca="false">SUMIFS(Data!$E$2:$E$325,Data!$A$2:$A$325,A15)</f>
        <v>494</v>
      </c>
      <c r="D15" s="26" t="n">
        <f aca="false">IFERROR(C15/B15,0)</f>
        <v>0.0479891198756557</v>
      </c>
      <c r="E15" s="18" t="n">
        <f aca="false">SUMIFS(Data!$F$2:$F$325,Data!$A$2:$A$325,A15)</f>
        <v>28585.68</v>
      </c>
      <c r="F15" s="18" t="n">
        <v>60833.01</v>
      </c>
      <c r="G15" s="18" t="n">
        <f aca="false">E15+F15</f>
        <v>89418.69</v>
      </c>
      <c r="H15" s="17" t="n">
        <v>1408</v>
      </c>
      <c r="I15" s="17" t="n">
        <v>3927</v>
      </c>
    </row>
    <row r="16" customFormat="false" ht="15" hidden="false" customHeight="false" outlineLevel="0" collapsed="false">
      <c r="A16" s="22" t="s">
        <v>58</v>
      </c>
      <c r="B16" s="23" t="n">
        <f aca="false">SUMIFS(Data!$D$2:$D$325,Data!$A$2:$A$325,A16)</f>
        <v>11782</v>
      </c>
      <c r="C16" s="23" t="n">
        <f aca="false">SUMIFS(Data!$E$2:$E$325,Data!$A$2:$A$325,A16)</f>
        <v>551</v>
      </c>
      <c r="D16" s="24" t="n">
        <f aca="false">IFERROR(C16/B16,0)</f>
        <v>0.0467662536071974</v>
      </c>
      <c r="E16" s="25" t="n">
        <f aca="false">SUMIFS(Data!$F$2:$F$325,Data!$A$2:$A$325,A16)</f>
        <v>32653.59</v>
      </c>
      <c r="F16" s="25" t="n">
        <v>66421.98</v>
      </c>
      <c r="G16" s="25" t="n">
        <f aca="false">E16+F16</f>
        <v>99075.57</v>
      </c>
      <c r="H16" s="23" t="n">
        <v>1524</v>
      </c>
      <c r="I16" s="23" t="n">
        <v>4181</v>
      </c>
    </row>
    <row r="17" customFormat="false" ht="15" hidden="false" customHeight="false" outlineLevel="0" collapsed="false">
      <c r="A17" s="2" t="s">
        <v>59</v>
      </c>
      <c r="B17" s="17" t="n">
        <f aca="false">SUMIFS(Data!$D$2:$D$325,Data!$A$2:$A$325,A17)</f>
        <v>11702</v>
      </c>
      <c r="C17" s="17" t="n">
        <f aca="false">SUMIFS(Data!$E$2:$E$325,Data!$A$2:$A$325,A17)</f>
        <v>617</v>
      </c>
      <c r="D17" s="26" t="n">
        <f aca="false">IFERROR(C17/B17,0)</f>
        <v>0.0527260297385062</v>
      </c>
      <c r="E17" s="18" t="n">
        <f aca="false">SUMIFS(Data!$F$2:$F$325,Data!$A$2:$A$325,A17)</f>
        <v>38534.55</v>
      </c>
      <c r="F17" s="18" t="n">
        <v>67472.31</v>
      </c>
      <c r="G17" s="18" t="n">
        <f aca="false">E17+F17</f>
        <v>106006.86</v>
      </c>
      <c r="H17" s="17" t="n">
        <v>1588</v>
      </c>
      <c r="I17" s="17" t="n">
        <v>4457</v>
      </c>
    </row>
    <row r="18" customFormat="false" ht="15" hidden="false" customHeight="false" outlineLevel="0" collapsed="false">
      <c r="A18" s="22" t="s">
        <v>60</v>
      </c>
      <c r="B18" s="23" t="n">
        <f aca="false">SUMIFS(Data!$D$2:$D$325,Data!$A$2:$A$325,A18)</f>
        <v>11899</v>
      </c>
      <c r="C18" s="23" t="n">
        <f aca="false">SUMIFS(Data!$E$2:$E$325,Data!$A$2:$A$325,A18)</f>
        <v>602</v>
      </c>
      <c r="D18" s="24" t="n">
        <f aca="false">IFERROR(C18/B18,0)</f>
        <v>0.0505924867635936</v>
      </c>
      <c r="E18" s="25" t="n">
        <f aca="false">SUMIFS(Data!$F$2:$F$325,Data!$A$2:$A$325,A18)</f>
        <v>38270.04</v>
      </c>
      <c r="F18" s="25" t="n">
        <v>73037.19</v>
      </c>
      <c r="G18" s="25" t="n">
        <f aca="false">E18+F18</f>
        <v>111307.23</v>
      </c>
      <c r="H18" s="23" t="n">
        <v>1702</v>
      </c>
      <c r="I18" s="23" t="n">
        <v>4709</v>
      </c>
    </row>
    <row r="19" customFormat="false" ht="15" hidden="false" customHeight="false" outlineLevel="0" collapsed="false">
      <c r="A19" s="2" t="s">
        <v>3</v>
      </c>
      <c r="B19" s="17" t="n">
        <f aca="false">SUMIFS(Data!$D$2:$D$325,Data!$A$2:$A$325,A19)</f>
        <v>12189</v>
      </c>
      <c r="C19" s="17" t="n">
        <f aca="false">SUMIFS(Data!$E$2:$E$325,Data!$A$2:$A$325,A19)</f>
        <v>598</v>
      </c>
      <c r="D19" s="26" t="n">
        <f aca="false">IFERROR(C19/B19,0)</f>
        <v>0.0490606284354746</v>
      </c>
      <c r="E19" s="18" t="n">
        <f aca="false">SUMIFS(Data!$F$2:$F$325,Data!$A$2:$A$325,A19)</f>
        <v>36768.72</v>
      </c>
      <c r="F19" s="18" t="n">
        <v>74750.01</v>
      </c>
      <c r="G19" s="18" t="n">
        <f aca="false">E19+F19</f>
        <v>111518.73</v>
      </c>
      <c r="H19" s="17" t="n">
        <v>1763</v>
      </c>
      <c r="I19" s="17" t="n">
        <v>4966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3" t="s">
        <v>64</v>
      </c>
      <c r="B21" s="2"/>
      <c r="C21" s="2"/>
      <c r="D21" s="2"/>
      <c r="E21" s="2"/>
      <c r="F21" s="2"/>
      <c r="G21" s="2"/>
      <c r="H21" s="2"/>
      <c r="I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5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2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26.85" hidden="false" customHeight="false" outlineLevel="0" collapsed="false">
      <c r="A1" s="8" t="s">
        <v>61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2"/>
      <c r="I1" s="4" t="s">
        <v>71</v>
      </c>
      <c r="J1" s="27" t="n">
        <v>0.03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8" t="n">
        <f aca="false">IFERROR(C2/B2-1,0)</f>
        <v>0</v>
      </c>
      <c r="G2" s="2" t="str">
        <f aca="false">IF(OR(D2&gt;0,ABS(F2)&gt;$J$1),"CHECK","OK")</f>
        <v>OK</v>
      </c>
      <c r="H2" s="2"/>
      <c r="I2" s="3" t="s">
        <v>72</v>
      </c>
      <c r="J2" s="2"/>
    </row>
    <row r="3" customFormat="false" ht="15" hidden="false" customHeight="false" outlineLevel="0" collapsed="false">
      <c r="A3" s="2" t="s">
        <v>41</v>
      </c>
      <c r="B3" s="2" t="n">
        <v>389</v>
      </c>
      <c r="C3" s="2" t="n">
        <v>388</v>
      </c>
      <c r="D3" s="2" t="n">
        <v>0</v>
      </c>
      <c r="E3" s="2" t="n">
        <v>6</v>
      </c>
      <c r="F3" s="28" t="n">
        <f aca="false">IFERROR(C3/B3-1,0)</f>
        <v>-0.00257069408740362</v>
      </c>
      <c r="G3" s="2" t="str">
        <f aca="false">IF(OR(D3&gt;0,ABS(F3)&gt;$J$1),"CHECK","OK")</f>
        <v>OK</v>
      </c>
      <c r="H3" s="2"/>
      <c r="I3" s="2"/>
      <c r="J3" s="2"/>
    </row>
    <row r="4" customFormat="false" ht="15" hidden="false" customHeight="false" outlineLevel="0" collapsed="false">
      <c r="A4" s="2" t="s">
        <v>45</v>
      </c>
      <c r="B4" s="2" t="n">
        <v>362</v>
      </c>
      <c r="C4" s="2" t="n">
        <v>360</v>
      </c>
      <c r="D4" s="2" t="n">
        <v>0</v>
      </c>
      <c r="E4" s="2" t="n">
        <v>8</v>
      </c>
      <c r="F4" s="28" t="n">
        <f aca="false">IFERROR(C4/B4-1,0)</f>
        <v>-0.00552486187845302</v>
      </c>
      <c r="G4" s="2" t="str">
        <f aca="false">IF(OR(D4&gt;0,ABS(F4)&gt;$J$1),"CHECK","OK")</f>
        <v>OK</v>
      </c>
      <c r="H4" s="2"/>
      <c r="I4" s="2"/>
      <c r="J4" s="2"/>
    </row>
    <row r="5" customFormat="false" ht="15" hidden="false" customHeight="false" outlineLevel="0" collapsed="false">
      <c r="A5" s="2" t="s">
        <v>46</v>
      </c>
      <c r="B5" s="2" t="n">
        <v>377</v>
      </c>
      <c r="C5" s="2" t="n">
        <v>370</v>
      </c>
      <c r="D5" s="2" t="n">
        <v>0</v>
      </c>
      <c r="E5" s="2" t="n">
        <v>8</v>
      </c>
      <c r="F5" s="28" t="n">
        <f aca="false">IFERROR(C5/B5-1,0)</f>
        <v>-0.0185676392572944</v>
      </c>
      <c r="G5" s="2" t="str">
        <f aca="false">IF(OR(D5&gt;0,ABS(F5)&gt;$J$1),"CHECK","OK")</f>
        <v>OK</v>
      </c>
      <c r="H5" s="2"/>
      <c r="I5" s="2"/>
      <c r="J5" s="2"/>
    </row>
    <row r="6" customFormat="false" ht="15" hidden="false" customHeight="false" outlineLevel="0" collapsed="false">
      <c r="A6" s="2" t="s">
        <v>47</v>
      </c>
      <c r="B6" s="2" t="n">
        <v>383</v>
      </c>
      <c r="C6" s="2" t="n">
        <v>379</v>
      </c>
      <c r="D6" s="2" t="n">
        <v>0</v>
      </c>
      <c r="E6" s="2" t="n">
        <v>8</v>
      </c>
      <c r="F6" s="28" t="n">
        <f aca="false">IFERROR(C6/B6-1,0)</f>
        <v>-0.0104438642297651</v>
      </c>
      <c r="G6" s="2" t="str">
        <f aca="false">IF(OR(D6&gt;0,ABS(F6)&gt;$J$1),"CHECK","OK")</f>
        <v>OK</v>
      </c>
      <c r="H6" s="2"/>
      <c r="I6" s="2"/>
      <c r="J6" s="2"/>
    </row>
    <row r="7" customFormat="false" ht="15" hidden="false" customHeight="false" outlineLevel="0" collapsed="false">
      <c r="A7" s="2" t="s">
        <v>48</v>
      </c>
      <c r="B7" s="2" t="n">
        <v>421</v>
      </c>
      <c r="C7" s="2" t="n">
        <v>414</v>
      </c>
      <c r="D7" s="2" t="n">
        <v>0</v>
      </c>
      <c r="E7" s="2" t="n">
        <v>6</v>
      </c>
      <c r="F7" s="28" t="n">
        <f aca="false">IFERROR(C7/B7-1,0)</f>
        <v>-0.0166270783847982</v>
      </c>
      <c r="G7" s="2" t="str">
        <f aca="false">IF(OR(D7&gt;0,ABS(F7)&gt;$J$1),"CHECK","OK")</f>
        <v>OK</v>
      </c>
      <c r="H7" s="2"/>
      <c r="I7" s="2"/>
      <c r="J7" s="2"/>
    </row>
    <row r="8" customFormat="false" ht="15" hidden="false" customHeight="false" outlineLevel="0" collapsed="false">
      <c r="A8" s="2" t="s">
        <v>49</v>
      </c>
      <c r="B8" s="2" t="n">
        <v>392</v>
      </c>
      <c r="C8" s="2" t="n">
        <v>393</v>
      </c>
      <c r="D8" s="2" t="n">
        <v>0</v>
      </c>
      <c r="E8" s="2" t="n">
        <v>6</v>
      </c>
      <c r="F8" s="28" t="n">
        <f aca="false">IFERROR(C8/B8-1,0)</f>
        <v>0.00255102040816335</v>
      </c>
      <c r="G8" s="2" t="str">
        <f aca="false">IF(OR(D8&gt;0,ABS(F8)&gt;$J$1),"CHECK","OK")</f>
        <v>OK</v>
      </c>
      <c r="H8" s="2"/>
      <c r="I8" s="2"/>
      <c r="J8" s="2"/>
    </row>
    <row r="9" customFormat="false" ht="15" hidden="false" customHeight="false" outlineLevel="0" collapsed="false">
      <c r="A9" s="2" t="s">
        <v>50</v>
      </c>
      <c r="B9" s="2" t="n">
        <v>466</v>
      </c>
      <c r="C9" s="2" t="n">
        <v>470</v>
      </c>
      <c r="D9" s="2" t="n">
        <v>0</v>
      </c>
      <c r="E9" s="2" t="n">
        <v>14</v>
      </c>
      <c r="F9" s="28" t="n">
        <f aca="false">IFERROR(C9/B9-1,0)</f>
        <v>0.00858369098712442</v>
      </c>
      <c r="G9" s="2" t="str">
        <f aca="false">IF(OR(D9&gt;0,ABS(F9)&gt;$J$1),"CHECK","OK")</f>
        <v>OK</v>
      </c>
      <c r="H9" s="2"/>
      <c r="I9" s="2"/>
      <c r="J9" s="2"/>
    </row>
    <row r="10" customFormat="false" ht="15" hidden="false" customHeight="false" outlineLevel="0" collapsed="false">
      <c r="A10" s="2" t="s">
        <v>51</v>
      </c>
      <c r="B10" s="2" t="n">
        <v>437</v>
      </c>
      <c r="C10" s="2" t="n">
        <v>434</v>
      </c>
      <c r="D10" s="2" t="n">
        <v>0</v>
      </c>
      <c r="E10" s="2" t="n">
        <v>10</v>
      </c>
      <c r="F10" s="28" t="n">
        <f aca="false">IFERROR(C10/B10-1,0)</f>
        <v>-0.00686498855835238</v>
      </c>
      <c r="G10" s="2" t="str">
        <f aca="false">IF(OR(D10&gt;0,ABS(F10)&gt;$J$1),"CHECK","OK")</f>
        <v>OK</v>
      </c>
      <c r="H10" s="2"/>
      <c r="I10" s="2"/>
      <c r="J10" s="2"/>
    </row>
    <row r="11" customFormat="false" ht="15" hidden="false" customHeight="false" outlineLevel="0" collapsed="false">
      <c r="A11" s="2" t="s">
        <v>52</v>
      </c>
      <c r="B11" s="2" t="n">
        <v>475</v>
      </c>
      <c r="C11" s="2" t="n">
        <v>476</v>
      </c>
      <c r="D11" s="2" t="n">
        <v>0</v>
      </c>
      <c r="E11" s="2" t="n">
        <v>14</v>
      </c>
      <c r="F11" s="28" t="n">
        <f aca="false">IFERROR(C11/B11-1,0)</f>
        <v>0.00210526315789483</v>
      </c>
      <c r="G11" s="2" t="str">
        <f aca="false">IF(OR(D11&gt;0,ABS(F11)&gt;$J$1),"CHECK","OK")</f>
        <v>OK</v>
      </c>
      <c r="H11" s="2"/>
      <c r="I11" s="2"/>
      <c r="J11" s="2"/>
    </row>
    <row r="12" customFormat="false" ht="15" hidden="false" customHeight="false" outlineLevel="0" collapsed="false">
      <c r="A12" s="2" t="s">
        <v>53</v>
      </c>
      <c r="B12" s="2" t="n">
        <v>474</v>
      </c>
      <c r="C12" s="2" t="n">
        <v>478</v>
      </c>
      <c r="D12" s="2" t="n">
        <v>0</v>
      </c>
      <c r="E12" s="2" t="n">
        <v>18</v>
      </c>
      <c r="F12" s="28" t="n">
        <f aca="false">IFERROR(C12/B12-1,0)</f>
        <v>0.00843881856540074</v>
      </c>
      <c r="G12" s="2" t="str">
        <f aca="false">IF(OR(D12&gt;0,ABS(F12)&gt;$J$1),"CHECK","OK")</f>
        <v>OK</v>
      </c>
      <c r="H12" s="2"/>
      <c r="I12" s="2"/>
      <c r="J12" s="2"/>
    </row>
    <row r="13" customFormat="false" ht="15" hidden="false" customHeight="false" outlineLevel="0" collapsed="false">
      <c r="A13" s="2" t="s">
        <v>54</v>
      </c>
      <c r="B13" s="2" t="n">
        <v>448</v>
      </c>
      <c r="C13" s="2" t="n">
        <v>445</v>
      </c>
      <c r="D13" s="2" t="n">
        <v>0</v>
      </c>
      <c r="E13" s="2" t="n">
        <v>7</v>
      </c>
      <c r="F13" s="28" t="n">
        <f aca="false">IFERROR(C13/B13-1,0)</f>
        <v>-0.0066964285714286</v>
      </c>
      <c r="G13" s="2" t="str">
        <f aca="false">IF(OR(D13&gt;0,ABS(F13)&gt;$J$1),"CHECK","OK")</f>
        <v>OK</v>
      </c>
      <c r="H13" s="2"/>
      <c r="I13" s="2"/>
      <c r="J13" s="2"/>
    </row>
    <row r="14" customFormat="false" ht="15" hidden="false" customHeight="false" outlineLevel="0" collapsed="false">
      <c r="A14" s="2" t="s">
        <v>55</v>
      </c>
      <c r="B14" s="2" t="n">
        <v>522</v>
      </c>
      <c r="C14" s="2" t="n">
        <v>533</v>
      </c>
      <c r="D14" s="2" t="n">
        <v>0</v>
      </c>
      <c r="E14" s="2" t="n">
        <v>14</v>
      </c>
      <c r="F14" s="28" t="n">
        <f aca="false">IFERROR(C14/B14-1,0)</f>
        <v>0.0210727969348659</v>
      </c>
      <c r="G14" s="2" t="str">
        <f aca="false">IF(OR(D14&gt;0,ABS(F14)&gt;$J$1),"CHECK","OK")</f>
        <v>OK</v>
      </c>
      <c r="H14" s="2"/>
      <c r="I14" s="2"/>
      <c r="J14" s="2"/>
    </row>
    <row r="15" customFormat="false" ht="15" hidden="false" customHeight="false" outlineLevel="0" collapsed="false">
      <c r="A15" s="2" t="s">
        <v>56</v>
      </c>
      <c r="B15" s="2" t="n">
        <v>575</v>
      </c>
      <c r="C15" s="2" t="n">
        <v>572</v>
      </c>
      <c r="D15" s="2" t="n">
        <v>0</v>
      </c>
      <c r="E15" s="2" t="n">
        <v>9</v>
      </c>
      <c r="F15" s="28" t="n">
        <f aca="false">IFERROR(C15/B15-1,0)</f>
        <v>-0.00521739130434784</v>
      </c>
      <c r="G15" s="2" t="str">
        <f aca="false">IF(OR(D15&gt;0,ABS(F15)&gt;$J$1),"CHECK","OK")</f>
        <v>OK</v>
      </c>
      <c r="H15" s="2"/>
      <c r="I15" s="2"/>
      <c r="J15" s="2"/>
    </row>
    <row r="16" customFormat="false" ht="15" hidden="false" customHeight="false" outlineLevel="0" collapsed="false">
      <c r="A16" s="2" t="s">
        <v>57</v>
      </c>
      <c r="B16" s="2" t="n">
        <v>494</v>
      </c>
      <c r="C16" s="2" t="n">
        <v>495</v>
      </c>
      <c r="D16" s="2" t="n">
        <v>0</v>
      </c>
      <c r="E16" s="2" t="n">
        <v>10</v>
      </c>
      <c r="F16" s="28" t="n">
        <f aca="false">IFERROR(C16/B16-1,0)</f>
        <v>0.00202429149797578</v>
      </c>
      <c r="G16" s="2" t="str">
        <f aca="false">IF(OR(D16&gt;0,ABS(F16)&gt;$J$1),"CHECK","OK")</f>
        <v>OK</v>
      </c>
      <c r="H16" s="2"/>
      <c r="I16" s="2"/>
      <c r="J16" s="2"/>
    </row>
    <row r="17" customFormat="false" ht="15" hidden="false" customHeight="false" outlineLevel="0" collapsed="false">
      <c r="A17" s="2" t="s">
        <v>58</v>
      </c>
      <c r="B17" s="2" t="n">
        <v>551</v>
      </c>
      <c r="C17" s="2" t="n">
        <v>559</v>
      </c>
      <c r="D17" s="2" t="n">
        <v>43</v>
      </c>
      <c r="E17" s="2" t="n">
        <v>13</v>
      </c>
      <c r="F17" s="28" t="n">
        <f aca="false">IFERROR(C17/B17-1,0)</f>
        <v>0.0145190562613431</v>
      </c>
      <c r="G17" s="2" t="str">
        <f aca="false">IF(OR(D17&gt;0,ABS(F17)&gt;$J$1),"CHECK","OK")</f>
        <v>CHECK</v>
      </c>
      <c r="H17" s="2"/>
      <c r="I17" s="2"/>
      <c r="J17" s="2"/>
    </row>
    <row r="18" customFormat="false" ht="15" hidden="false" customHeight="false" outlineLevel="0" collapsed="false">
      <c r="A18" s="2" t="s">
        <v>59</v>
      </c>
      <c r="B18" s="2" t="n">
        <v>617</v>
      </c>
      <c r="C18" s="2" t="n">
        <v>618</v>
      </c>
      <c r="D18" s="2" t="n">
        <v>54</v>
      </c>
      <c r="E18" s="2" t="n">
        <v>16</v>
      </c>
      <c r="F18" s="28" t="n">
        <f aca="false">IFERROR(C18/B18-1,0)</f>
        <v>0.00162074554294978</v>
      </c>
      <c r="G18" s="2" t="str">
        <f aca="false">IF(OR(D18&gt;0,ABS(F18)&gt;$J$1),"CHECK","OK")</f>
        <v>CHECK</v>
      </c>
      <c r="H18" s="2"/>
      <c r="I18" s="2"/>
      <c r="J18" s="2"/>
    </row>
    <row r="19" customFormat="false" ht="15" hidden="false" customHeight="false" outlineLevel="0" collapsed="false">
      <c r="A19" s="2" t="s">
        <v>60</v>
      </c>
      <c r="B19" s="2" t="n">
        <v>602</v>
      </c>
      <c r="C19" s="2" t="n">
        <v>607</v>
      </c>
      <c r="D19" s="2" t="n">
        <v>41</v>
      </c>
      <c r="E19" s="2" t="n">
        <v>14</v>
      </c>
      <c r="F19" s="28" t="n">
        <f aca="false">IFERROR(C19/B19-1,0)</f>
        <v>0.00830564784053167</v>
      </c>
      <c r="G19" s="2" t="str">
        <f aca="false">IF(OR(D19&gt;0,ABS(F19)&gt;$J$1),"CHECK","OK")</f>
        <v>CHECK</v>
      </c>
      <c r="H19" s="2"/>
      <c r="I19" s="2"/>
      <c r="J19" s="2"/>
    </row>
    <row r="20" customFormat="false" ht="15" hidden="false" customHeight="false" outlineLevel="0" collapsed="false">
      <c r="A20" s="2" t="s">
        <v>3</v>
      </c>
      <c r="B20" s="2" t="n">
        <v>598</v>
      </c>
      <c r="C20" s="2" t="n">
        <v>607</v>
      </c>
      <c r="D20" s="2" t="n">
        <v>0</v>
      </c>
      <c r="E20" s="2" t="n">
        <v>24</v>
      </c>
      <c r="F20" s="2"/>
      <c r="G20" s="2"/>
      <c r="H20" s="2"/>
      <c r="I20" s="2"/>
      <c r="J20" s="2"/>
    </row>
  </sheetData>
  <conditionalFormatting sqref="G2:G19">
    <cfRule type="expression" priority="2" aboveAverage="0" equalAverage="0" bottom="0" percent="0" rank="0" text="" dxfId="2">
      <formula>G2="CHECK"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9" t="s">
        <v>73</v>
      </c>
    </row>
    <row r="2" customFormat="false" ht="15" hidden="false" customHeight="false" outlineLevel="0" collapsed="false">
      <c r="A2" s="30" t="s">
        <v>74</v>
      </c>
    </row>
    <row r="3" customFormat="false" ht="15" hidden="false" customHeight="false" outlineLevel="0" collapsed="false">
      <c r="A3" s="30" t="s">
        <v>75</v>
      </c>
    </row>
    <row r="4" customFormat="false" ht="15" hidden="false" customHeight="false" outlineLevel="0" collapsed="false">
      <c r="A4" s="30" t="s">
        <v>76</v>
      </c>
    </row>
    <row r="5" customFormat="false" ht="15" hidden="false" customHeight="false" outlineLevel="0" collapsed="false">
      <c r="A5" s="30" t="s">
        <v>77</v>
      </c>
    </row>
    <row r="6" customFormat="false" ht="15" hidden="false" customHeight="false" outlineLevel="0" collapsed="false">
      <c r="A6" s="3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2026-10-12T20:42:38Z</dcterms:created>
  <dc:creator>openpyxl</dc:creator>
  <dc:description/>
  <dc:language>en-US</dc:language>
  <cp:lastModifiedBy/>
  <dcterms:modified xsi:type="dcterms:W3CDTF">2026-10-12T14:42:40Z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